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defaultThemeVersion="202300"/>
  <mc:AlternateContent xmlns:mc="http://schemas.openxmlformats.org/markup-compatibility/2006">
    <mc:Choice Requires="x15">
      <x15ac:absPath xmlns:x15ac="http://schemas.microsoft.com/office/spreadsheetml/2010/11/ac" url="/Users/meder/Documents/Work/Projects/2026 Causal strength under structure uncertainty/data/"/>
    </mc:Choice>
  </mc:AlternateContent>
  <xr:revisionPtr revIDLastSave="0" documentId="13_ncr:1_{0C51441A-15A9-224D-B4B5-5D4139ABE067}" xr6:coauthVersionLast="47" xr6:coauthVersionMax="47" xr10:uidLastSave="{00000000-0000-0000-0000-000000000000}"/>
  <bookViews>
    <workbookView xWindow="0" yWindow="660" windowWidth="30240" windowHeight="18980" xr2:uid="{C7468D40-FCF6-9940-A81B-9482341C3388}"/>
  </bookViews>
  <sheets>
    <sheet name="Buehner_Cheng_Clifford_2003"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O51" i="1" l="1"/>
  <c r="N51" i="1"/>
  <c r="O50" i="1"/>
  <c r="N50" i="1"/>
  <c r="O49" i="1"/>
  <c r="N49" i="1"/>
  <c r="O48" i="1"/>
  <c r="N48" i="1"/>
  <c r="O47" i="1"/>
  <c r="N47" i="1"/>
  <c r="O46" i="1"/>
  <c r="N46" i="1"/>
  <c r="O45" i="1"/>
  <c r="N45" i="1"/>
  <c r="O44" i="1"/>
  <c r="N44" i="1"/>
  <c r="O43" i="1"/>
  <c r="N43" i="1"/>
  <c r="O42" i="1"/>
  <c r="N42" i="1"/>
  <c r="P42" i="1" s="1"/>
  <c r="Q42" i="1" s="1"/>
  <c r="O41" i="1"/>
  <c r="N41" i="1"/>
  <c r="O40" i="1"/>
  <c r="N40" i="1"/>
  <c r="O39" i="1"/>
  <c r="N39" i="1"/>
  <c r="O38" i="1"/>
  <c r="N38" i="1"/>
  <c r="O37" i="1"/>
  <c r="N37" i="1"/>
  <c r="P37" i="1" s="1"/>
  <c r="Q37" i="1" s="1"/>
  <c r="O36" i="1"/>
  <c r="N36" i="1"/>
  <c r="O35" i="1"/>
  <c r="N35" i="1"/>
  <c r="O34" i="1"/>
  <c r="N34" i="1"/>
  <c r="O33" i="1"/>
  <c r="N33" i="1"/>
  <c r="O32" i="1"/>
  <c r="N32" i="1"/>
  <c r="P32" i="1" s="1"/>
  <c r="Q32" i="1" s="1"/>
  <c r="O31" i="1"/>
  <c r="N31" i="1"/>
  <c r="O30" i="1"/>
  <c r="N30" i="1"/>
  <c r="O29" i="1"/>
  <c r="N29" i="1"/>
  <c r="O28" i="1"/>
  <c r="N28" i="1"/>
  <c r="P28" i="1" s="1"/>
  <c r="Q28" i="1" s="1"/>
  <c r="O27" i="1"/>
  <c r="N27" i="1"/>
  <c r="O26" i="1"/>
  <c r="N26" i="1"/>
  <c r="O25" i="1"/>
  <c r="N25" i="1"/>
  <c r="O24" i="1"/>
  <c r="N24" i="1"/>
  <c r="O23" i="1"/>
  <c r="N23" i="1"/>
  <c r="P23" i="1" s="1"/>
  <c r="Q23" i="1" s="1"/>
  <c r="O22" i="1"/>
  <c r="N22" i="1"/>
  <c r="O21" i="1"/>
  <c r="N21" i="1"/>
  <c r="O20" i="1"/>
  <c r="N20" i="1"/>
  <c r="O19" i="1"/>
  <c r="N19" i="1"/>
  <c r="O18" i="1"/>
  <c r="N18" i="1"/>
  <c r="O17" i="1"/>
  <c r="N17" i="1"/>
  <c r="P17" i="1" s="1"/>
  <c r="Q17" i="1" s="1"/>
  <c r="O16" i="1"/>
  <c r="N16" i="1"/>
  <c r="O15" i="1"/>
  <c r="N15" i="1"/>
  <c r="O14" i="1"/>
  <c r="N14" i="1"/>
  <c r="O13" i="1"/>
  <c r="N13" i="1"/>
  <c r="P13" i="1" s="1"/>
  <c r="Q13" i="1" s="1"/>
  <c r="O12" i="1"/>
  <c r="N12" i="1"/>
  <c r="O11" i="1"/>
  <c r="N11" i="1"/>
  <c r="O10" i="1"/>
  <c r="N10" i="1"/>
  <c r="O9" i="1"/>
  <c r="N9" i="1"/>
  <c r="O8" i="1"/>
  <c r="N8" i="1"/>
  <c r="O7" i="1"/>
  <c r="N7" i="1"/>
  <c r="P7" i="1" s="1"/>
  <c r="Q7" i="1" s="1"/>
  <c r="O6" i="1"/>
  <c r="N6" i="1"/>
  <c r="O5" i="1"/>
  <c r="N5" i="1"/>
  <c r="O4" i="1"/>
  <c r="N4" i="1"/>
  <c r="O3" i="1"/>
  <c r="N3" i="1"/>
  <c r="P3" i="1" s="1"/>
  <c r="Q3" i="1" s="1"/>
  <c r="O2" i="1"/>
  <c r="N2" i="1"/>
  <c r="P2" i="1" s="1"/>
  <c r="Q2" i="1" s="1"/>
  <c r="P27" i="1" l="1"/>
  <c r="P50" i="1"/>
  <c r="Q50" i="1" s="1"/>
  <c r="P6" i="1"/>
  <c r="Q6" i="1" s="1"/>
  <c r="P11" i="1"/>
  <c r="Q11" i="1" s="1"/>
  <c r="P21" i="1"/>
  <c r="Q21" i="1" s="1"/>
  <c r="P31" i="1"/>
  <c r="Q31" i="1" s="1"/>
  <c r="P36" i="1"/>
  <c r="Q36" i="1" s="1"/>
  <c r="P41" i="1"/>
  <c r="Q41" i="1" s="1"/>
  <c r="P46" i="1"/>
  <c r="Q46" i="1" s="1"/>
  <c r="P9" i="1"/>
  <c r="Q9" i="1" s="1"/>
  <c r="P43" i="1"/>
  <c r="Q43" i="1" s="1"/>
  <c r="P47" i="1"/>
  <c r="Q47" i="1" s="1"/>
  <c r="P38" i="1"/>
  <c r="Q38" i="1" s="1"/>
  <c r="P24" i="1"/>
  <c r="Q24" i="1" s="1"/>
  <c r="P8" i="1"/>
  <c r="Q8" i="1" s="1"/>
  <c r="P18" i="1"/>
  <c r="Q18" i="1" s="1"/>
  <c r="P5" i="1"/>
  <c r="Q5" i="1" s="1"/>
  <c r="P40" i="1"/>
  <c r="Q40" i="1" s="1"/>
  <c r="P20" i="1"/>
  <c r="Q20" i="1" s="1"/>
  <c r="P30" i="1"/>
  <c r="Q30" i="1" s="1"/>
  <c r="P35" i="1"/>
  <c r="Q35" i="1" s="1"/>
  <c r="P15" i="1"/>
  <c r="Q15" i="1" s="1"/>
  <c r="P19" i="1"/>
  <c r="Q19" i="1" s="1"/>
  <c r="P10" i="1"/>
  <c r="Q10" i="1" s="1"/>
  <c r="P14" i="1"/>
  <c r="Q14" i="1" s="1"/>
  <c r="P12" i="1"/>
  <c r="P16" i="1"/>
  <c r="Q16" i="1" s="1"/>
  <c r="P33" i="1"/>
  <c r="Q33" i="1" s="1"/>
  <c r="P48" i="1"/>
  <c r="Q48" i="1" s="1"/>
  <c r="P49" i="1"/>
  <c r="Q49" i="1" s="1"/>
  <c r="P44" i="1"/>
  <c r="Q44" i="1" s="1"/>
  <c r="P4" i="1"/>
  <c r="Q4" i="1" s="1"/>
  <c r="P25" i="1"/>
  <c r="Q25" i="1" s="1"/>
  <c r="P29" i="1"/>
  <c r="Q29" i="1" s="1"/>
  <c r="P34" i="1"/>
  <c r="Q34" i="1" s="1"/>
  <c r="P39" i="1"/>
  <c r="Q39" i="1" s="1"/>
  <c r="P22" i="1"/>
  <c r="Q22" i="1" s="1"/>
  <c r="P26" i="1"/>
  <c r="Q26" i="1" s="1"/>
  <c r="P45" i="1"/>
  <c r="Q45" i="1" s="1"/>
  <c r="P51" i="1"/>
  <c r="Q51" i="1" s="1"/>
</calcChain>
</file>

<file path=xl/sharedStrings.xml><?xml version="1.0" encoding="utf-8"?>
<sst xmlns="http://schemas.openxmlformats.org/spreadsheetml/2006/main" count="554" uniqueCount="87">
  <si>
    <t>experiment</t>
  </si>
  <si>
    <t>condition</t>
  </si>
  <si>
    <t>presentation</t>
  </si>
  <si>
    <t>framing</t>
  </si>
  <si>
    <t>source</t>
  </si>
  <si>
    <t>pEC</t>
  </si>
  <si>
    <t>pEnoC</t>
  </si>
  <si>
    <t>deltaP</t>
  </si>
  <si>
    <t>power</t>
  </si>
  <si>
    <t>rating_SD</t>
  </si>
  <si>
    <t>question</t>
  </si>
  <si>
    <t>scale</t>
  </si>
  <si>
    <t>anchors</t>
  </si>
  <si>
    <t>note</t>
  </si>
  <si>
    <t>P01</t>
  </si>
  <si>
    <t>simultaneous</t>
  </si>
  <si>
    <t>preventive</t>
  </si>
  <si>
    <t>Table 1</t>
  </si>
  <si>
    <t>how strongly does the vaccine prevented the disease related to the virus</t>
  </si>
  <si>
    <t>0 to 100</t>
  </si>
  <si>
    <t>0 = “the vaccine does not prevent the disease at all” to 100 = “the vaccine prevents the disease every time.”</t>
  </si>
  <si>
    <t>P02</t>
  </si>
  <si>
    <t>P03</t>
  </si>
  <si>
    <t>P04</t>
  </si>
  <si>
    <t>P05</t>
  </si>
  <si>
    <t>P06</t>
  </si>
  <si>
    <t>P07</t>
  </si>
  <si>
    <t>P08</t>
  </si>
  <si>
    <t>P09</t>
  </si>
  <si>
    <t>P10</t>
  </si>
  <si>
    <t>P11</t>
  </si>
  <si>
    <t>P12</t>
  </si>
  <si>
    <t>P13</t>
  </si>
  <si>
    <t>P14</t>
  </si>
  <si>
    <t>P15</t>
  </si>
  <si>
    <t>G01</t>
  </si>
  <si>
    <t>generative</t>
  </si>
  <si>
    <t>Table 2</t>
  </si>
  <si>
    <t>how strongly does the particular rays cause mutation</t>
  </si>
  <si>
    <t> 0 = “the ray does not cause mutation at all” to 100 = “the rays cause mutation every time.”</t>
  </si>
  <si>
    <t>G02</t>
  </si>
  <si>
    <t>G03</t>
  </si>
  <si>
    <t>G04</t>
  </si>
  <si>
    <t>G05</t>
  </si>
  <si>
    <t>G06</t>
  </si>
  <si>
    <t>G07</t>
  </si>
  <si>
    <t>G08</t>
  </si>
  <si>
    <t>G09</t>
  </si>
  <si>
    <t>G10</t>
  </si>
  <si>
    <t>G11</t>
  </si>
  <si>
    <t>G12</t>
  </si>
  <si>
    <t>G13</t>
  </si>
  <si>
    <t>G14</t>
  </si>
  <si>
    <t>G15</t>
  </si>
  <si>
    <t>A</t>
  </si>
  <si>
    <t>bidirectional</t>
  </si>
  <si>
    <t>Table 3</t>
  </si>
  <si>
    <t>First, participants made a qualitative judgment: whether the medicine “has no effect on They first indicated whether they thought the medicine “has no effect on headaches”, “causes headaches”, or “prevents or relieves headaches”. If the participant responded that the medicine causes headaches, they were further asked to estimate how many out of 100 people who did not have headaches would have a headache if given the medicine. If the participant responded that the medicine prevented headaches, they were asked to estimate how many out of 100 people, all of whom had headaches, would not have a headache if given the medicine. If participants answered that the medicine“has no effect” on headaches, their answer was scored as 0.headaches,” “causes headaches,” or “prevents or relieves headaches.” If they chose causes, they were asked to estimate how many out of 100 people who did not have headaches would have a headache if given the medicine. If they chose prevents, they were asked to estimate how many out of 100 people, all of whom had headaches, would not have a headache if given the medicine. “No effect” was scored as 0; causal estimates were scored positive; preventive estimates were scored negative.  </t>
  </si>
  <si>
    <t>-100 to 100</t>
  </si>
  <si>
    <t>B</t>
  </si>
  <si>
    <t>C</t>
  </si>
  <si>
    <t>D</t>
  </si>
  <si>
    <t>E</t>
  </si>
  <si>
    <t>F</t>
  </si>
  <si>
    <t>G</t>
  </si>
  <si>
    <t>H</t>
  </si>
  <si>
    <t>I</t>
  </si>
  <si>
    <t>J</t>
  </si>
  <si>
    <t>trial-by-trial</t>
  </si>
  <si>
    <t>Table 4</t>
  </si>
  <si>
    <t>study</t>
  </si>
  <si>
    <t>Buehner et al. (2003)</t>
  </si>
  <si>
    <t>design</t>
  </si>
  <si>
    <t>within-subjects</t>
  </si>
  <si>
    <t>participants</t>
  </si>
  <si>
    <t>reference</t>
  </si>
  <si>
    <t>Buehner, M. J., Cheng, P. W., &amp; Clifford, D. (2003). From covariation to causation: A test of the assumption of causal power. Journal of Experimental Psychology: Learning, Memory, &amp; Cognition, 29, 1119–1140.</t>
  </si>
  <si>
    <t>conditions were within-subjects within each component, but generative versus preventive framing was between-subjects</t>
  </si>
  <si>
    <t>causal direction between-subjects; all other factors within-subjects</t>
  </si>
  <si>
    <t>mixed</t>
  </si>
  <si>
    <t>design_note</t>
  </si>
  <si>
    <t>all factors varied within subjects</t>
  </si>
  <si>
    <t>N_00</t>
  </si>
  <si>
    <t>N_11</t>
  </si>
  <si>
    <t>N_10</t>
  </si>
  <si>
    <t>N_01</t>
  </si>
  <si>
    <t>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</si>
</sst>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sz val="12"/>
      <color theme="1"/>
      <name val="Aptos"/>
    </font>
    <font>
      <b/>
      <sz val="12"/>
      <name val="Aptos"/>
    </font>
    <font>
      <b/>
      <sz val="12"/>
      <color theme="1"/>
      <name val="Aptos"/>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2" fontId="1" fillId="0" borderId="0" xfId="0" applyNumberFormat="1" applyFont="1"/>
    <xf numFmtId="49" fontId="1" fillId="0" borderId="0" xfId="0" applyNumberFormat="1" applyFont="1"/>
    <xf numFmtId="0" fontId="2" fillId="0" borderId="0" xfId="0" applyFont="1"/>
    <xf numFmtId="0" fontId="1" fillId="0" borderId="0" xfId="0" applyFont="1" applyAlignment="1">
      <alignment horizontal="left"/>
    </xf>
    <xf numFmtId="0" fontId="3" fillId="0" borderId="0" xfId="0" applyFont="1"/>
  </cellXfs>
  <cellStyles count="1">
    <cellStyle name="Normal" xfId="0" builtinId="0"/>
  </cellStyles>
  <dxfs count="27">
    <dxf>
      <font>
        <strike val="0"/>
        <outline val="0"/>
        <shadow val="0"/>
        <u val="none"/>
        <vertAlign val="baseline"/>
        <sz val="12"/>
        <name val="Aptos"/>
        <scheme val="none"/>
      </font>
    </dxf>
    <dxf>
      <font>
        <strike val="0"/>
        <outline val="0"/>
        <shadow val="0"/>
        <u val="none"/>
        <vertAlign val="baseline"/>
        <sz val="12"/>
        <color theme="1"/>
        <name val="Aptos"/>
        <scheme val="none"/>
      </font>
      <fill>
        <patternFill patternType="none">
          <fgColor indexed="64"/>
          <bgColor auto="1"/>
        </patternFill>
      </fill>
    </dxf>
    <dxf>
      <font>
        <strike val="0"/>
        <outline val="0"/>
        <shadow val="0"/>
        <u val="none"/>
        <vertAlign val="baseline"/>
        <sz val="12"/>
        <color theme="1"/>
        <name val="Aptos"/>
        <scheme val="none"/>
      </font>
      <fill>
        <patternFill patternType="none">
          <fgColor indexed="64"/>
          <bgColor auto="1"/>
        </patternFill>
      </fill>
    </dxf>
    <dxf>
      <font>
        <strike val="0"/>
        <outline val="0"/>
        <shadow val="0"/>
        <u val="none"/>
        <vertAlign val="baseline"/>
        <sz val="12"/>
        <color theme="1"/>
        <name val="Aptos"/>
        <scheme val="none"/>
      </font>
      <fill>
        <patternFill patternType="none">
          <fgColor indexed="64"/>
          <bgColor auto="1"/>
        </patternFill>
      </fill>
    </dxf>
    <dxf>
      <font>
        <strike val="0"/>
        <outline val="0"/>
        <shadow val="0"/>
        <u val="none"/>
        <vertAlign val="baseline"/>
        <sz val="12"/>
        <color theme="1"/>
        <name val="Aptos"/>
        <scheme val="none"/>
      </font>
      <fill>
        <patternFill patternType="none">
          <fgColor indexed="64"/>
          <bgColor auto="1"/>
        </patternFill>
      </fill>
    </dxf>
    <dxf>
      <font>
        <strike val="0"/>
        <outline val="0"/>
        <shadow val="0"/>
        <u val="none"/>
        <vertAlign val="baseline"/>
        <sz val="12"/>
        <color theme="1"/>
        <name val="Aptos"/>
        <scheme val="none"/>
      </font>
      <fill>
        <patternFill patternType="none">
          <fgColor indexed="64"/>
          <bgColor auto="1"/>
        </patternFill>
      </fill>
    </dxf>
    <dxf>
      <font>
        <strike val="0"/>
        <outline val="0"/>
        <shadow val="0"/>
        <u val="none"/>
        <vertAlign val="baseline"/>
        <sz val="12"/>
        <color theme="1"/>
        <name val="Aptos"/>
        <scheme val="none"/>
      </font>
      <numFmt numFmtId="2" formatCode="0.00"/>
      <fill>
        <patternFill patternType="none">
          <fgColor indexed="64"/>
          <bgColor auto="1"/>
        </patternFill>
      </fill>
    </dxf>
    <dxf>
      <font>
        <strike val="0"/>
        <outline val="0"/>
        <shadow val="0"/>
        <u val="none"/>
        <vertAlign val="baseline"/>
        <sz val="12"/>
        <color theme="1"/>
        <name val="Aptos"/>
        <scheme val="none"/>
      </font>
      <numFmt numFmtId="2" formatCode="0.00"/>
      <fill>
        <patternFill patternType="none">
          <fgColor indexed="64"/>
          <bgColor auto="1"/>
        </patternFill>
      </fill>
    </dxf>
    <dxf>
      <font>
        <strike val="0"/>
        <outline val="0"/>
        <shadow val="0"/>
        <u val="none"/>
        <vertAlign val="baseline"/>
        <sz val="12"/>
        <color theme="1"/>
        <name val="Aptos"/>
        <scheme val="none"/>
      </font>
      <fill>
        <patternFill patternType="none">
          <fgColor indexed="64"/>
          <bgColor auto="1"/>
        </patternFill>
      </fill>
    </dxf>
    <dxf>
      <font>
        <strike val="0"/>
        <outline val="0"/>
        <shadow val="0"/>
        <u val="none"/>
        <vertAlign val="baseline"/>
        <sz val="12"/>
        <color theme="1"/>
        <name val="Aptos"/>
        <scheme val="none"/>
      </font>
      <fill>
        <patternFill patternType="none">
          <fgColor indexed="64"/>
          <bgColor auto="1"/>
        </patternFill>
      </fill>
    </dxf>
    <dxf>
      <font>
        <strike val="0"/>
        <outline val="0"/>
        <shadow val="0"/>
        <u val="none"/>
        <vertAlign val="baseline"/>
        <sz val="12"/>
        <color theme="1"/>
        <name val="Aptos"/>
        <scheme val="none"/>
      </font>
      <fill>
        <patternFill patternType="none">
          <fgColor indexed="64"/>
          <bgColor auto="1"/>
        </patternFill>
      </fill>
    </dxf>
    <dxf>
      <font>
        <strike val="0"/>
        <outline val="0"/>
        <shadow val="0"/>
        <u val="none"/>
        <vertAlign val="baseline"/>
        <sz val="12"/>
        <color theme="1"/>
        <name val="Aptos"/>
        <scheme val="none"/>
      </font>
      <fill>
        <patternFill patternType="none">
          <fgColor indexed="64"/>
          <bgColor auto="1"/>
        </patternFill>
      </fill>
    </dxf>
    <dxf>
      <font>
        <strike val="0"/>
        <outline val="0"/>
        <shadow val="0"/>
        <u val="none"/>
        <vertAlign val="baseline"/>
        <sz val="12"/>
        <color theme="1"/>
        <name val="Aptos"/>
        <scheme val="none"/>
      </font>
      <fill>
        <patternFill patternType="none">
          <fgColor indexed="64"/>
          <bgColor auto="1"/>
        </patternFill>
      </fill>
    </dxf>
    <dxf>
      <font>
        <strike val="0"/>
        <outline val="0"/>
        <shadow val="0"/>
        <u val="none"/>
        <vertAlign val="baseline"/>
        <sz val="12"/>
        <color theme="1"/>
        <name val="Aptos"/>
        <scheme val="none"/>
      </font>
      <fill>
        <patternFill patternType="none">
          <fgColor indexed="64"/>
          <bgColor auto="1"/>
        </patternFill>
      </fill>
    </dxf>
    <dxf>
      <font>
        <strike val="0"/>
        <outline val="0"/>
        <shadow val="0"/>
        <u val="none"/>
        <vertAlign val="baseline"/>
        <sz val="12"/>
        <color theme="1"/>
        <name val="Aptos"/>
        <scheme val="none"/>
      </font>
      <fill>
        <patternFill patternType="none">
          <fgColor indexed="64"/>
          <bgColor auto="1"/>
        </patternFill>
      </fill>
    </dxf>
    <dxf>
      <font>
        <strike val="0"/>
        <outline val="0"/>
        <shadow val="0"/>
        <u val="none"/>
        <vertAlign val="baseline"/>
        <sz val="12"/>
        <color theme="1"/>
        <name val="Aptos"/>
        <scheme val="none"/>
      </font>
      <fill>
        <patternFill patternType="none">
          <fgColor indexed="64"/>
          <bgColor auto="1"/>
        </patternFill>
      </fill>
    </dxf>
    <dxf>
      <font>
        <strike val="0"/>
        <outline val="0"/>
        <shadow val="0"/>
        <u val="none"/>
        <vertAlign val="baseline"/>
        <sz val="12"/>
        <color theme="1"/>
        <name val="Aptos"/>
        <scheme val="none"/>
      </font>
      <fill>
        <patternFill patternType="none">
          <fgColor indexed="64"/>
          <bgColor auto="1"/>
        </patternFill>
      </fill>
    </dxf>
    <dxf>
      <font>
        <strike val="0"/>
        <outline val="0"/>
        <shadow val="0"/>
        <u val="none"/>
        <vertAlign val="baseline"/>
        <sz val="12"/>
        <color theme="1"/>
        <name val="Aptos"/>
        <scheme val="none"/>
      </font>
      <fill>
        <patternFill patternType="none">
          <fgColor indexed="64"/>
          <bgColor auto="1"/>
        </patternFill>
      </fill>
    </dxf>
    <dxf>
      <font>
        <strike val="0"/>
        <outline val="0"/>
        <shadow val="0"/>
        <u val="none"/>
        <vertAlign val="baseline"/>
        <sz val="12"/>
        <color theme="1"/>
        <name val="Aptos"/>
        <scheme val="none"/>
      </font>
      <fill>
        <patternFill patternType="none">
          <fgColor indexed="64"/>
          <bgColor indexed="65"/>
        </patternFill>
      </fill>
    </dxf>
    <dxf>
      <font>
        <b val="0"/>
        <i val="0"/>
        <strike val="0"/>
        <condense val="0"/>
        <extend val="0"/>
        <outline val="0"/>
        <shadow val="0"/>
        <u val="none"/>
        <vertAlign val="baseline"/>
        <sz val="12"/>
        <color theme="1"/>
        <name val="Aptos"/>
        <scheme val="none"/>
      </font>
    </dxf>
    <dxf>
      <font>
        <b val="0"/>
        <i val="0"/>
        <strike val="0"/>
        <condense val="0"/>
        <extend val="0"/>
        <outline val="0"/>
        <shadow val="0"/>
        <u val="none"/>
        <vertAlign val="baseline"/>
        <sz val="12"/>
        <color theme="1"/>
        <name val="Aptos"/>
        <scheme val="none"/>
      </font>
    </dxf>
    <dxf>
      <font>
        <strike val="0"/>
        <outline val="0"/>
        <shadow val="0"/>
        <u val="none"/>
        <vertAlign val="baseline"/>
        <sz val="12"/>
        <color theme="1"/>
        <name val="Aptos"/>
        <scheme val="none"/>
      </font>
      <fill>
        <patternFill patternType="none">
          <fgColor indexed="64"/>
          <bgColor indexed="65"/>
        </patternFill>
      </fill>
    </dxf>
    <dxf>
      <font>
        <strike val="0"/>
        <outline val="0"/>
        <shadow val="0"/>
        <u val="none"/>
        <vertAlign val="baseline"/>
        <sz val="12"/>
        <color theme="1"/>
        <name val="Aptos"/>
        <scheme val="none"/>
      </font>
      <fill>
        <patternFill patternType="none">
          <fgColor indexed="64"/>
          <bgColor auto="1"/>
        </patternFill>
      </fill>
    </dxf>
    <dxf>
      <font>
        <strike val="0"/>
        <outline val="0"/>
        <shadow val="0"/>
        <u val="none"/>
        <vertAlign val="baseline"/>
        <sz val="12"/>
        <color theme="1"/>
        <name val="Aptos"/>
        <scheme val="none"/>
      </font>
      <fill>
        <patternFill patternType="none">
          <fgColor indexed="64"/>
          <bgColor auto="1"/>
        </patternFill>
      </fill>
    </dxf>
    <dxf>
      <font>
        <strike val="0"/>
        <outline val="0"/>
        <shadow val="0"/>
        <u val="none"/>
        <vertAlign val="baseline"/>
        <sz val="12"/>
        <name val="Aptos"/>
        <scheme val="none"/>
      </font>
    </dxf>
    <dxf>
      <font>
        <strike val="0"/>
        <outline val="0"/>
        <shadow val="0"/>
        <u val="none"/>
        <vertAlign val="baseline"/>
        <sz val="12"/>
        <color theme="1"/>
        <name val="Aptos"/>
        <scheme val="none"/>
      </font>
      <fill>
        <patternFill patternType="none">
          <fgColor indexed="64"/>
          <bgColor auto="1"/>
        </patternFill>
      </fill>
    </dxf>
    <dxf>
      <font>
        <b/>
        <strike val="0"/>
        <outline val="0"/>
        <shadow val="0"/>
        <u val="none"/>
        <vertAlign val="baseline"/>
        <sz val="12"/>
        <name val="Aptos"/>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FB47B53-1661-7747-AC74-2F2352AB36DD}" name="BuehnerData" displayName="BuehnerData" ref="B1:X51" headerRowDxfId="26" dataDxfId="25" totalsRowDxfId="24" headerRowCellStyle="Normal" dataCellStyle="Normal" totalsRowCellStyle="Normal">
  <tableColumns count="23">
    <tableColumn id="1" xr3:uid="{A11C21C3-1AFD-6141-BB06-DF16F2EBD8C7}" name="experiment" dataDxfId="23" dataCellStyle="Normal"/>
    <tableColumn id="2" xr3:uid="{77A2792F-7EB0-9B4C-8C3C-A45004D61684}" name="condition" dataDxfId="22" dataCellStyle="Normal"/>
    <tableColumn id="17" xr3:uid="{377FC33F-F656-AA44-B551-63FCFAF2C895}" name="participants" dataDxfId="21"/>
    <tableColumn id="15" xr3:uid="{E7F4939A-4112-C149-A5A8-5F093C1486E4}" name="design" dataDxfId="20"/>
    <tableColumn id="24" xr3:uid="{3C4A2F55-7ADF-C147-ADCC-0A4149A58591}" name="design_note" dataDxfId="19"/>
    <tableColumn id="18" xr3:uid="{6CE180EB-AB8B-B041-85F3-872B6E07EFD5}" name="presentation" dataDxfId="18"/>
    <tableColumn id="3" xr3:uid="{D84C6FFA-18C5-4143-A50B-B3CCA18DF738}" name="framing" dataDxfId="17" dataCellStyle="Normal"/>
    <tableColumn id="4" xr3:uid="{C5F1387F-DB55-A44E-A76A-756D5E261AEA}" name="source" dataDxfId="16" dataCellStyle="Normal"/>
    <tableColumn id="5" xr3:uid="{BB32671D-6846-DD48-A486-2093F8361FD3}" name="N_00" dataDxfId="15" dataCellStyle="Normal"/>
    <tableColumn id="6" xr3:uid="{651507AB-3114-C44C-84DD-84188BF0E8C9}" name="N_01" dataDxfId="14" dataCellStyle="Normal"/>
    <tableColumn id="7" xr3:uid="{3BAC1C70-0907-394A-87C5-CA05F4B1F4A2}" name="N_10" dataDxfId="13" dataCellStyle="Normal"/>
    <tableColumn id="8" xr3:uid="{E380A4EB-0B67-FE4F-979F-9606885B411D}" name="N_11" dataDxfId="12" dataCellStyle="Normal"/>
    <tableColumn id="9" xr3:uid="{5C34C915-5C74-0B45-8674-D381115A0F79}" name="pEC" dataDxfId="11" dataCellStyle="Normal">
      <calculatedColumnFormula>M2/(L2+M2)</calculatedColumnFormula>
    </tableColumn>
    <tableColumn id="10" xr3:uid="{E73913B7-4A56-F942-A2A4-E4731DF37F9F}" name="pEnoC" dataDxfId="10" dataCellStyle="Normal">
      <calculatedColumnFormula>K2/(J2+K2)</calculatedColumnFormula>
    </tableColumn>
    <tableColumn id="11" xr3:uid="{BCCCD459-A7C9-D84E-824E-A8CF028D1F96}" name="deltaP" dataDxfId="9" dataCellStyle="Normal">
      <calculatedColumnFormula>N2-O2</calculatedColumnFormula>
    </tableColumn>
    <tableColumn id="12" xr3:uid="{E5DC3C46-8FD2-6F43-97A3-F36316B3C09F}" name="power" dataDxfId="8" dataCellStyle="Normal">
      <calculatedColumnFormula>IF(H2="generative",IF(AND(P2=0,O2=1),"Undefined",IF(P2&gt;=0,P2/(1-O2),"")),IF(H2="preventive",IF(AND(P2=0,O2=0),"Undefined",IF(P2&lt;=0,-P2/O2,"")),IF(P2&gt;0,P2/(1-O2),IF(P2&lt;0,-P2/O2,0))))</calculatedColumnFormula>
    </tableColumn>
    <tableColumn id="13" xr3:uid="{1E9F0CDD-9823-C741-8510-9A32B472F473}" name="rating" dataDxfId="7" dataCellStyle="Normal"/>
    <tableColumn id="14" xr3:uid="{3CDE0D6A-9D03-F847-9464-2DE0D7553284}" name="rating_SD" dataDxfId="6" dataCellStyle="Normal"/>
    <tableColumn id="16" xr3:uid="{94D909DD-7110-C64A-A3D7-180417B069FC}" name="question" dataDxfId="5" dataCellStyle="Normal"/>
    <tableColumn id="19" xr3:uid="{64874519-737F-0B40-9DF8-E4CE7849AC5A}" name="scale" dataDxfId="4" dataCellStyle="Normal" totalsRowCellStyle="Normal"/>
    <tableColumn id="20" xr3:uid="{6EF35B41-91F6-624D-AAD0-CE34A63F8A7D}" name="anchors" dataDxfId="3" dataCellStyle="Normal" totalsRowCellStyle="Normal"/>
    <tableColumn id="21" xr3:uid="{CDE21A0B-27B2-E246-BBAD-6FB167B6B39A}" name="reference" dataDxfId="2" dataCellStyle="Normal" totalsRowCellStyle="Normal"/>
    <tableColumn id="22" xr3:uid="{3D853EFD-E58B-2449-BDEC-B06B3B7997F0}" name="note" dataDxfId="1" totalsRowDxfId="0" dataCellStyle="Normal" totalsRowCellStyle="Normal"/>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FAFDD3-910F-6F48-8862-8AAB3423E990}">
  <dimension ref="A1:X51"/>
  <sheetViews>
    <sheetView tabSelected="1" zoomScale="172" workbookViewId="0">
      <pane ySplit="1" topLeftCell="A25" activePane="bottomLeft" state="frozen"/>
      <selection pane="bottomLeft" activeCell="R2" sqref="R2"/>
    </sheetView>
  </sheetViews>
  <sheetFormatPr baseColWidth="10" defaultRowHeight="16" x14ac:dyDescent="0.2"/>
  <cols>
    <col min="1" max="1" width="29.83203125" style="1" customWidth="1"/>
    <col min="2" max="4" width="10.83203125" style="1"/>
    <col min="5" max="5" width="67.6640625" style="1" customWidth="1"/>
    <col min="6" max="6" width="92.5" style="1" customWidth="1"/>
    <col min="7" max="7" width="16.5" style="1" customWidth="1"/>
    <col min="8" max="8" width="15" style="1" customWidth="1"/>
    <col min="9" max="17" width="10.83203125" style="1"/>
    <col min="18" max="18" width="20.6640625" style="1" customWidth="1"/>
    <col min="19" max="19" width="13.83203125" style="1" customWidth="1"/>
    <col min="20" max="21" width="10.83203125" style="1"/>
    <col min="22" max="22" width="91.33203125" style="1" customWidth="1"/>
    <col min="23" max="16384" width="10.83203125" style="1"/>
  </cols>
  <sheetData>
    <row r="1" spans="1:24" x14ac:dyDescent="0.2">
      <c r="A1" s="6" t="s">
        <v>70</v>
      </c>
      <c r="B1" s="4" t="s">
        <v>0</v>
      </c>
      <c r="C1" s="4" t="s">
        <v>1</v>
      </c>
      <c r="D1" s="4" t="s">
        <v>74</v>
      </c>
      <c r="E1" s="6" t="s">
        <v>72</v>
      </c>
      <c r="F1" s="6" t="s">
        <v>80</v>
      </c>
      <c r="G1" s="4" t="s">
        <v>2</v>
      </c>
      <c r="H1" s="4" t="s">
        <v>3</v>
      </c>
      <c r="I1" s="4" t="s">
        <v>4</v>
      </c>
      <c r="J1" s="4" t="s">
        <v>82</v>
      </c>
      <c r="K1" s="4" t="s">
        <v>85</v>
      </c>
      <c r="L1" s="4" t="s">
        <v>84</v>
      </c>
      <c r="M1" s="4" t="s">
        <v>83</v>
      </c>
      <c r="N1" s="4" t="s">
        <v>5</v>
      </c>
      <c r="O1" s="4" t="s">
        <v>6</v>
      </c>
      <c r="P1" s="4" t="s">
        <v>7</v>
      </c>
      <c r="Q1" s="4" t="s">
        <v>8</v>
      </c>
      <c r="R1" s="4" t="s">
        <v>86</v>
      </c>
      <c r="S1" s="4" t="s">
        <v>9</v>
      </c>
      <c r="T1" s="4" t="s">
        <v>10</v>
      </c>
      <c r="U1" s="4" t="s">
        <v>11</v>
      </c>
      <c r="V1" s="4" t="s">
        <v>12</v>
      </c>
      <c r="W1" s="6" t="s">
        <v>75</v>
      </c>
      <c r="X1" s="6" t="s">
        <v>13</v>
      </c>
    </row>
    <row r="2" spans="1:24" x14ac:dyDescent="0.2">
      <c r="A2" s="5" t="s">
        <v>71</v>
      </c>
      <c r="B2" s="1">
        <v>1</v>
      </c>
      <c r="C2" s="1" t="s">
        <v>14</v>
      </c>
      <c r="D2" s="1">
        <v>57</v>
      </c>
      <c r="E2" t="s">
        <v>79</v>
      </c>
      <c r="F2" t="s">
        <v>78</v>
      </c>
      <c r="G2" s="1" t="s">
        <v>68</v>
      </c>
      <c r="H2" s="1" t="s">
        <v>16</v>
      </c>
      <c r="I2" s="1" t="s">
        <v>17</v>
      </c>
      <c r="J2" s="1">
        <v>0</v>
      </c>
      <c r="K2" s="1">
        <v>8</v>
      </c>
      <c r="L2" s="1">
        <v>8</v>
      </c>
      <c r="M2" s="1">
        <v>0</v>
      </c>
      <c r="N2" s="1">
        <f t="shared" ref="N2:N51" si="0">M2/(L2+M2)</f>
        <v>0</v>
      </c>
      <c r="O2" s="1">
        <f t="shared" ref="O2:O51" si="1">K2/(J2+K2)</f>
        <v>1</v>
      </c>
      <c r="P2" s="1">
        <f t="shared" ref="P2:P51" si="2">N2-O2</f>
        <v>-1</v>
      </c>
      <c r="Q2" s="1">
        <f t="shared" ref="Q2:Q51" si="3">IF(H2="generative",IF(AND(P2=0,O2=1),"Undefined",IF(P2&gt;=0,P2/(1-O2),"")),IF(H2="preventive",IF(AND(P2=0,O2=0),"Undefined",IF(P2&lt;=0,-P2/O2,"")),IF(P2&gt;0,P2/(1-O2),IF(P2&lt;0,-P2/O2,0))))</f>
        <v>1</v>
      </c>
      <c r="R2" s="2">
        <v>93.58</v>
      </c>
      <c r="S2" s="2">
        <v>12.87</v>
      </c>
      <c r="T2" s="1" t="s">
        <v>18</v>
      </c>
      <c r="U2" s="3" t="s">
        <v>19</v>
      </c>
      <c r="V2" s="1" t="s">
        <v>20</v>
      </c>
      <c r="W2" s="1" t="s">
        <v>76</v>
      </c>
    </row>
    <row r="3" spans="1:24" x14ac:dyDescent="0.2">
      <c r="A3" s="5" t="s">
        <v>71</v>
      </c>
      <c r="B3" s="1">
        <v>1</v>
      </c>
      <c r="C3" s="1" t="s">
        <v>21</v>
      </c>
      <c r="D3" s="1">
        <v>57</v>
      </c>
      <c r="E3" t="s">
        <v>79</v>
      </c>
      <c r="F3" t="s">
        <v>77</v>
      </c>
      <c r="G3" s="1" t="s">
        <v>68</v>
      </c>
      <c r="H3" s="1" t="s">
        <v>16</v>
      </c>
      <c r="I3" s="1" t="s">
        <v>17</v>
      </c>
      <c r="J3" s="1">
        <v>2</v>
      </c>
      <c r="K3" s="1">
        <v>6</v>
      </c>
      <c r="L3" s="1">
        <v>8</v>
      </c>
      <c r="M3" s="1">
        <v>0</v>
      </c>
      <c r="N3" s="1">
        <f t="shared" si="0"/>
        <v>0</v>
      </c>
      <c r="O3" s="1">
        <f t="shared" si="1"/>
        <v>0.75</v>
      </c>
      <c r="P3" s="1">
        <f t="shared" si="2"/>
        <v>-0.75</v>
      </c>
      <c r="Q3" s="1">
        <f t="shared" si="3"/>
        <v>1</v>
      </c>
      <c r="R3" s="2">
        <v>84.75</v>
      </c>
      <c r="S3" s="2">
        <v>19.72</v>
      </c>
      <c r="T3" s="1" t="s">
        <v>18</v>
      </c>
      <c r="U3" s="3" t="s">
        <v>19</v>
      </c>
      <c r="V3" s="1" t="s">
        <v>20</v>
      </c>
      <c r="W3" s="1" t="s">
        <v>76</v>
      </c>
    </row>
    <row r="4" spans="1:24" x14ac:dyDescent="0.2">
      <c r="A4" s="5" t="s">
        <v>71</v>
      </c>
      <c r="B4" s="1">
        <v>1</v>
      </c>
      <c r="C4" s="1" t="s">
        <v>22</v>
      </c>
      <c r="D4" s="1">
        <v>57</v>
      </c>
      <c r="E4" t="s">
        <v>79</v>
      </c>
      <c r="F4" t="s">
        <v>77</v>
      </c>
      <c r="G4" s="1" t="s">
        <v>68</v>
      </c>
      <c r="H4" s="1" t="s">
        <v>16</v>
      </c>
      <c r="I4" s="1" t="s">
        <v>17</v>
      </c>
      <c r="J4" s="1">
        <v>0</v>
      </c>
      <c r="K4" s="1">
        <v>8</v>
      </c>
      <c r="L4" s="1">
        <v>6</v>
      </c>
      <c r="M4" s="1">
        <v>2</v>
      </c>
      <c r="N4" s="1">
        <f t="shared" si="0"/>
        <v>0.25</v>
      </c>
      <c r="O4" s="1">
        <f t="shared" si="1"/>
        <v>1</v>
      </c>
      <c r="P4" s="1">
        <f t="shared" si="2"/>
        <v>-0.75</v>
      </c>
      <c r="Q4" s="1">
        <f t="shared" si="3"/>
        <v>0.75</v>
      </c>
      <c r="R4" s="2">
        <v>71.540000000000006</v>
      </c>
      <c r="S4" s="2">
        <v>17.260000000000002</v>
      </c>
      <c r="T4" s="1" t="s">
        <v>18</v>
      </c>
      <c r="U4" s="3" t="s">
        <v>19</v>
      </c>
      <c r="V4" s="1" t="s">
        <v>20</v>
      </c>
      <c r="W4" s="1" t="s">
        <v>76</v>
      </c>
    </row>
    <row r="5" spans="1:24" x14ac:dyDescent="0.2">
      <c r="A5" s="5" t="s">
        <v>71</v>
      </c>
      <c r="B5" s="1">
        <v>1</v>
      </c>
      <c r="C5" s="1" t="s">
        <v>23</v>
      </c>
      <c r="D5" s="1">
        <v>57</v>
      </c>
      <c r="E5" t="s">
        <v>79</v>
      </c>
      <c r="F5" t="s">
        <v>77</v>
      </c>
      <c r="G5" s="1" t="s">
        <v>68</v>
      </c>
      <c r="H5" s="1" t="s">
        <v>16</v>
      </c>
      <c r="I5" s="1" t="s">
        <v>17</v>
      </c>
      <c r="J5" s="1">
        <v>4</v>
      </c>
      <c r="K5" s="1">
        <v>4</v>
      </c>
      <c r="L5" s="1">
        <v>8</v>
      </c>
      <c r="M5" s="1">
        <v>0</v>
      </c>
      <c r="N5" s="1">
        <f t="shared" si="0"/>
        <v>0</v>
      </c>
      <c r="O5" s="1">
        <f t="shared" si="1"/>
        <v>0.5</v>
      </c>
      <c r="P5" s="1">
        <f t="shared" si="2"/>
        <v>-0.5</v>
      </c>
      <c r="Q5" s="1">
        <f t="shared" si="3"/>
        <v>1</v>
      </c>
      <c r="R5" s="2">
        <v>79.28</v>
      </c>
      <c r="S5" s="2">
        <v>20.54</v>
      </c>
      <c r="T5" s="1" t="s">
        <v>18</v>
      </c>
      <c r="U5" s="3" t="s">
        <v>19</v>
      </c>
      <c r="V5" s="1" t="s">
        <v>20</v>
      </c>
      <c r="W5" s="1" t="s">
        <v>76</v>
      </c>
    </row>
    <row r="6" spans="1:24" x14ac:dyDescent="0.2">
      <c r="A6" s="5" t="s">
        <v>71</v>
      </c>
      <c r="B6" s="1">
        <v>1</v>
      </c>
      <c r="C6" s="1" t="s">
        <v>24</v>
      </c>
      <c r="D6" s="1">
        <v>57</v>
      </c>
      <c r="E6" t="s">
        <v>79</v>
      </c>
      <c r="F6" t="s">
        <v>77</v>
      </c>
      <c r="G6" s="1" t="s">
        <v>68</v>
      </c>
      <c r="H6" s="1" t="s">
        <v>16</v>
      </c>
      <c r="I6" s="1" t="s">
        <v>17</v>
      </c>
      <c r="J6" s="1">
        <v>2</v>
      </c>
      <c r="K6" s="1">
        <v>6</v>
      </c>
      <c r="L6" s="1">
        <v>6</v>
      </c>
      <c r="M6" s="1">
        <v>2</v>
      </c>
      <c r="N6" s="1">
        <f t="shared" si="0"/>
        <v>0.25</v>
      </c>
      <c r="O6" s="1">
        <f t="shared" si="1"/>
        <v>0.75</v>
      </c>
      <c r="P6" s="1">
        <f t="shared" si="2"/>
        <v>-0.5</v>
      </c>
      <c r="Q6" s="1">
        <f t="shared" si="3"/>
        <v>0.66666666666666663</v>
      </c>
      <c r="R6" s="2">
        <v>64.61</v>
      </c>
      <c r="S6" s="2">
        <v>19.489999999999998</v>
      </c>
      <c r="T6" s="1" t="s">
        <v>18</v>
      </c>
      <c r="U6" s="3" t="s">
        <v>19</v>
      </c>
      <c r="V6" s="1" t="s">
        <v>20</v>
      </c>
      <c r="W6" s="1" t="s">
        <v>76</v>
      </c>
    </row>
    <row r="7" spans="1:24" x14ac:dyDescent="0.2">
      <c r="A7" s="5" t="s">
        <v>71</v>
      </c>
      <c r="B7" s="1">
        <v>1</v>
      </c>
      <c r="C7" s="1" t="s">
        <v>25</v>
      </c>
      <c r="D7" s="1">
        <v>57</v>
      </c>
      <c r="E7" t="s">
        <v>79</v>
      </c>
      <c r="F7" t="s">
        <v>77</v>
      </c>
      <c r="G7" s="1" t="s">
        <v>68</v>
      </c>
      <c r="H7" s="1" t="s">
        <v>16</v>
      </c>
      <c r="I7" s="1" t="s">
        <v>17</v>
      </c>
      <c r="J7" s="1">
        <v>0</v>
      </c>
      <c r="K7" s="1">
        <v>8</v>
      </c>
      <c r="L7" s="1">
        <v>4</v>
      </c>
      <c r="M7" s="1">
        <v>4</v>
      </c>
      <c r="N7" s="1">
        <f t="shared" si="0"/>
        <v>0.5</v>
      </c>
      <c r="O7" s="1">
        <f t="shared" si="1"/>
        <v>1</v>
      </c>
      <c r="P7" s="1">
        <f t="shared" si="2"/>
        <v>-0.5</v>
      </c>
      <c r="Q7" s="1">
        <f t="shared" si="3"/>
        <v>0.5</v>
      </c>
      <c r="R7" s="2">
        <v>45.95</v>
      </c>
      <c r="S7" s="2">
        <v>21.87</v>
      </c>
      <c r="T7" s="1" t="s">
        <v>18</v>
      </c>
      <c r="U7" s="3" t="s">
        <v>19</v>
      </c>
      <c r="V7" s="1" t="s">
        <v>20</v>
      </c>
      <c r="W7" s="1" t="s">
        <v>76</v>
      </c>
    </row>
    <row r="8" spans="1:24" x14ac:dyDescent="0.2">
      <c r="A8" s="5" t="s">
        <v>71</v>
      </c>
      <c r="B8" s="1">
        <v>1</v>
      </c>
      <c r="C8" s="1" t="s">
        <v>26</v>
      </c>
      <c r="D8" s="1">
        <v>57</v>
      </c>
      <c r="E8" t="s">
        <v>79</v>
      </c>
      <c r="F8" t="s">
        <v>77</v>
      </c>
      <c r="G8" s="1" t="s">
        <v>68</v>
      </c>
      <c r="H8" s="1" t="s">
        <v>16</v>
      </c>
      <c r="I8" s="1" t="s">
        <v>17</v>
      </c>
      <c r="J8" s="1">
        <v>6</v>
      </c>
      <c r="K8" s="1">
        <v>2</v>
      </c>
      <c r="L8" s="1">
        <v>8</v>
      </c>
      <c r="M8" s="1">
        <v>0</v>
      </c>
      <c r="N8" s="1">
        <f t="shared" si="0"/>
        <v>0</v>
      </c>
      <c r="O8" s="1">
        <f t="shared" si="1"/>
        <v>0.25</v>
      </c>
      <c r="P8" s="1">
        <f t="shared" si="2"/>
        <v>-0.25</v>
      </c>
      <c r="Q8" s="1">
        <f t="shared" si="3"/>
        <v>1</v>
      </c>
      <c r="R8" s="2">
        <v>72</v>
      </c>
      <c r="S8" s="2">
        <v>29.62</v>
      </c>
      <c r="T8" s="1" t="s">
        <v>18</v>
      </c>
      <c r="U8" s="3" t="s">
        <v>19</v>
      </c>
      <c r="V8" s="1" t="s">
        <v>20</v>
      </c>
      <c r="W8" s="1" t="s">
        <v>76</v>
      </c>
    </row>
    <row r="9" spans="1:24" x14ac:dyDescent="0.2">
      <c r="A9" s="5" t="s">
        <v>71</v>
      </c>
      <c r="B9" s="1">
        <v>1</v>
      </c>
      <c r="C9" s="1" t="s">
        <v>27</v>
      </c>
      <c r="D9" s="1">
        <v>57</v>
      </c>
      <c r="E9" t="s">
        <v>79</v>
      </c>
      <c r="F9" t="s">
        <v>77</v>
      </c>
      <c r="G9" s="1" t="s">
        <v>68</v>
      </c>
      <c r="H9" s="1" t="s">
        <v>16</v>
      </c>
      <c r="I9" s="1" t="s">
        <v>17</v>
      </c>
      <c r="J9" s="1">
        <v>4</v>
      </c>
      <c r="K9" s="1">
        <v>4</v>
      </c>
      <c r="L9" s="1">
        <v>6</v>
      </c>
      <c r="M9" s="1">
        <v>2</v>
      </c>
      <c r="N9" s="1">
        <f t="shared" si="0"/>
        <v>0.25</v>
      </c>
      <c r="O9" s="1">
        <f t="shared" si="1"/>
        <v>0.5</v>
      </c>
      <c r="P9" s="1">
        <f t="shared" si="2"/>
        <v>-0.25</v>
      </c>
      <c r="Q9" s="1">
        <f t="shared" si="3"/>
        <v>0.5</v>
      </c>
      <c r="R9" s="2">
        <v>58.56</v>
      </c>
      <c r="S9" s="2">
        <v>20.02</v>
      </c>
      <c r="T9" s="1" t="s">
        <v>18</v>
      </c>
      <c r="U9" s="3" t="s">
        <v>19</v>
      </c>
      <c r="V9" s="1" t="s">
        <v>20</v>
      </c>
      <c r="W9" s="1" t="s">
        <v>76</v>
      </c>
    </row>
    <row r="10" spans="1:24" x14ac:dyDescent="0.2">
      <c r="A10" s="5" t="s">
        <v>71</v>
      </c>
      <c r="B10" s="1">
        <v>1</v>
      </c>
      <c r="C10" s="1" t="s">
        <v>28</v>
      </c>
      <c r="D10" s="1">
        <v>57</v>
      </c>
      <c r="E10" t="s">
        <v>79</v>
      </c>
      <c r="F10" t="s">
        <v>77</v>
      </c>
      <c r="G10" s="1" t="s">
        <v>68</v>
      </c>
      <c r="H10" s="1" t="s">
        <v>16</v>
      </c>
      <c r="I10" s="1" t="s">
        <v>17</v>
      </c>
      <c r="J10" s="1">
        <v>2</v>
      </c>
      <c r="K10" s="1">
        <v>6</v>
      </c>
      <c r="L10" s="1">
        <v>4</v>
      </c>
      <c r="M10" s="1">
        <v>4</v>
      </c>
      <c r="N10" s="1">
        <f t="shared" si="0"/>
        <v>0.5</v>
      </c>
      <c r="O10" s="1">
        <f t="shared" si="1"/>
        <v>0.75</v>
      </c>
      <c r="P10" s="1">
        <f t="shared" si="2"/>
        <v>-0.25</v>
      </c>
      <c r="Q10" s="1">
        <f t="shared" si="3"/>
        <v>0.33333333333333331</v>
      </c>
      <c r="R10" s="2">
        <v>42.86</v>
      </c>
      <c r="S10" s="2">
        <v>21.83</v>
      </c>
      <c r="T10" s="1" t="s">
        <v>18</v>
      </c>
      <c r="U10" s="3" t="s">
        <v>19</v>
      </c>
      <c r="V10" s="1" t="s">
        <v>20</v>
      </c>
      <c r="W10" s="1" t="s">
        <v>76</v>
      </c>
    </row>
    <row r="11" spans="1:24" x14ac:dyDescent="0.2">
      <c r="A11" s="5" t="s">
        <v>71</v>
      </c>
      <c r="B11" s="1">
        <v>1</v>
      </c>
      <c r="C11" s="1" t="s">
        <v>29</v>
      </c>
      <c r="D11" s="1">
        <v>57</v>
      </c>
      <c r="E11" t="s">
        <v>79</v>
      </c>
      <c r="F11" t="s">
        <v>77</v>
      </c>
      <c r="G11" s="1" t="s">
        <v>68</v>
      </c>
      <c r="H11" s="1" t="s">
        <v>16</v>
      </c>
      <c r="I11" s="1" t="s">
        <v>17</v>
      </c>
      <c r="J11" s="1">
        <v>0</v>
      </c>
      <c r="K11" s="1">
        <v>8</v>
      </c>
      <c r="L11" s="1">
        <v>2</v>
      </c>
      <c r="M11" s="1">
        <v>6</v>
      </c>
      <c r="N11" s="1">
        <f t="shared" si="0"/>
        <v>0.75</v>
      </c>
      <c r="O11" s="1">
        <f t="shared" si="1"/>
        <v>1</v>
      </c>
      <c r="P11" s="1">
        <f t="shared" si="2"/>
        <v>-0.25</v>
      </c>
      <c r="Q11" s="1">
        <f t="shared" si="3"/>
        <v>0.25</v>
      </c>
      <c r="R11" s="2">
        <v>21.09</v>
      </c>
      <c r="S11" s="2">
        <v>15.8</v>
      </c>
      <c r="T11" s="1" t="s">
        <v>18</v>
      </c>
      <c r="U11" s="3" t="s">
        <v>19</v>
      </c>
      <c r="V11" s="1" t="s">
        <v>20</v>
      </c>
      <c r="W11" s="1" t="s">
        <v>76</v>
      </c>
    </row>
    <row r="12" spans="1:24" x14ac:dyDescent="0.2">
      <c r="A12" s="5" t="s">
        <v>71</v>
      </c>
      <c r="B12" s="1">
        <v>1</v>
      </c>
      <c r="C12" s="1" t="s">
        <v>30</v>
      </c>
      <c r="D12" s="1">
        <v>57</v>
      </c>
      <c r="E12" t="s">
        <v>79</v>
      </c>
      <c r="F12" t="s">
        <v>77</v>
      </c>
      <c r="G12" s="1" t="s">
        <v>68</v>
      </c>
      <c r="H12" s="1" t="s">
        <v>16</v>
      </c>
      <c r="I12" s="1" t="s">
        <v>17</v>
      </c>
      <c r="J12" s="1">
        <v>8</v>
      </c>
      <c r="K12" s="1">
        <v>0</v>
      </c>
      <c r="L12" s="1">
        <v>8</v>
      </c>
      <c r="M12" s="1">
        <v>0</v>
      </c>
      <c r="N12" s="1">
        <f t="shared" si="0"/>
        <v>0</v>
      </c>
      <c r="O12" s="1">
        <f t="shared" si="1"/>
        <v>0</v>
      </c>
      <c r="P12" s="1">
        <f t="shared" si="2"/>
        <v>0</v>
      </c>
      <c r="R12" s="2">
        <v>45.12</v>
      </c>
      <c r="S12" s="2">
        <v>41.05</v>
      </c>
      <c r="T12" s="1" t="s">
        <v>18</v>
      </c>
      <c r="U12" s="3" t="s">
        <v>19</v>
      </c>
      <c r="V12" s="1" t="s">
        <v>20</v>
      </c>
      <c r="W12" s="1" t="s">
        <v>76</v>
      </c>
    </row>
    <row r="13" spans="1:24" x14ac:dyDescent="0.2">
      <c r="A13" s="5" t="s">
        <v>71</v>
      </c>
      <c r="B13" s="1">
        <v>1</v>
      </c>
      <c r="C13" s="1" t="s">
        <v>31</v>
      </c>
      <c r="D13" s="1">
        <v>57</v>
      </c>
      <c r="E13" t="s">
        <v>79</v>
      </c>
      <c r="F13" t="s">
        <v>77</v>
      </c>
      <c r="G13" s="1" t="s">
        <v>68</v>
      </c>
      <c r="H13" s="1" t="s">
        <v>16</v>
      </c>
      <c r="I13" s="1" t="s">
        <v>17</v>
      </c>
      <c r="J13" s="1">
        <v>6</v>
      </c>
      <c r="K13" s="1">
        <v>2</v>
      </c>
      <c r="L13" s="1">
        <v>6</v>
      </c>
      <c r="M13" s="1">
        <v>2</v>
      </c>
      <c r="N13" s="1">
        <f t="shared" si="0"/>
        <v>0.25</v>
      </c>
      <c r="O13" s="1">
        <f t="shared" si="1"/>
        <v>0.25</v>
      </c>
      <c r="P13" s="1">
        <f t="shared" si="2"/>
        <v>0</v>
      </c>
      <c r="Q13" s="1">
        <f t="shared" si="3"/>
        <v>0</v>
      </c>
      <c r="R13" s="2">
        <v>47.79</v>
      </c>
      <c r="S13" s="2">
        <v>28.7</v>
      </c>
      <c r="T13" s="1" t="s">
        <v>18</v>
      </c>
      <c r="U13" s="3" t="s">
        <v>19</v>
      </c>
      <c r="V13" s="1" t="s">
        <v>20</v>
      </c>
      <c r="W13" s="1" t="s">
        <v>76</v>
      </c>
    </row>
    <row r="14" spans="1:24" x14ac:dyDescent="0.2">
      <c r="A14" s="5" t="s">
        <v>71</v>
      </c>
      <c r="B14" s="1">
        <v>1</v>
      </c>
      <c r="C14" s="1" t="s">
        <v>32</v>
      </c>
      <c r="D14" s="1">
        <v>57</v>
      </c>
      <c r="E14" t="s">
        <v>79</v>
      </c>
      <c r="F14" t="s">
        <v>77</v>
      </c>
      <c r="G14" s="1" t="s">
        <v>68</v>
      </c>
      <c r="H14" s="1" t="s">
        <v>16</v>
      </c>
      <c r="I14" s="1" t="s">
        <v>17</v>
      </c>
      <c r="J14" s="1">
        <v>4</v>
      </c>
      <c r="K14" s="1">
        <v>4</v>
      </c>
      <c r="L14" s="1">
        <v>4</v>
      </c>
      <c r="M14" s="1">
        <v>4</v>
      </c>
      <c r="N14" s="1">
        <f t="shared" si="0"/>
        <v>0.5</v>
      </c>
      <c r="O14" s="1">
        <f t="shared" si="1"/>
        <v>0.5</v>
      </c>
      <c r="P14" s="1">
        <f t="shared" si="2"/>
        <v>0</v>
      </c>
      <c r="Q14" s="1">
        <f t="shared" si="3"/>
        <v>0</v>
      </c>
      <c r="R14" s="2">
        <v>33.89</v>
      </c>
      <c r="S14" s="2">
        <v>23.06</v>
      </c>
      <c r="T14" s="1" t="s">
        <v>18</v>
      </c>
      <c r="U14" s="3" t="s">
        <v>19</v>
      </c>
      <c r="V14" s="1" t="s">
        <v>20</v>
      </c>
      <c r="W14" s="1" t="s">
        <v>76</v>
      </c>
    </row>
    <row r="15" spans="1:24" x14ac:dyDescent="0.2">
      <c r="A15" s="5" t="s">
        <v>71</v>
      </c>
      <c r="B15" s="1">
        <v>1</v>
      </c>
      <c r="C15" s="1" t="s">
        <v>33</v>
      </c>
      <c r="D15" s="1">
        <v>57</v>
      </c>
      <c r="E15" t="s">
        <v>79</v>
      </c>
      <c r="F15" t="s">
        <v>77</v>
      </c>
      <c r="G15" s="1" t="s">
        <v>68</v>
      </c>
      <c r="H15" s="1" t="s">
        <v>16</v>
      </c>
      <c r="I15" s="1" t="s">
        <v>17</v>
      </c>
      <c r="J15" s="1">
        <v>2</v>
      </c>
      <c r="K15" s="1">
        <v>6</v>
      </c>
      <c r="L15" s="1">
        <v>2</v>
      </c>
      <c r="M15" s="1">
        <v>6</v>
      </c>
      <c r="N15" s="1">
        <f t="shared" si="0"/>
        <v>0.75</v>
      </c>
      <c r="O15" s="1">
        <f t="shared" si="1"/>
        <v>0.75</v>
      </c>
      <c r="P15" s="1">
        <f t="shared" si="2"/>
        <v>0</v>
      </c>
      <c r="Q15" s="1">
        <f t="shared" si="3"/>
        <v>0</v>
      </c>
      <c r="R15" s="2">
        <v>22.86</v>
      </c>
      <c r="S15" s="2">
        <v>21.86</v>
      </c>
      <c r="T15" s="1" t="s">
        <v>18</v>
      </c>
      <c r="U15" s="3" t="s">
        <v>19</v>
      </c>
      <c r="V15" s="1" t="s">
        <v>20</v>
      </c>
      <c r="W15" s="1" t="s">
        <v>76</v>
      </c>
    </row>
    <row r="16" spans="1:24" x14ac:dyDescent="0.2">
      <c r="A16" s="5" t="s">
        <v>71</v>
      </c>
      <c r="B16" s="1">
        <v>1</v>
      </c>
      <c r="C16" s="1" t="s">
        <v>34</v>
      </c>
      <c r="D16" s="1">
        <v>57</v>
      </c>
      <c r="E16" t="s">
        <v>79</v>
      </c>
      <c r="F16" t="s">
        <v>77</v>
      </c>
      <c r="G16" s="1" t="s">
        <v>68</v>
      </c>
      <c r="H16" s="1" t="s">
        <v>16</v>
      </c>
      <c r="I16" s="1" t="s">
        <v>17</v>
      </c>
      <c r="J16" s="1">
        <v>0</v>
      </c>
      <c r="K16" s="1">
        <v>8</v>
      </c>
      <c r="L16" s="1">
        <v>0</v>
      </c>
      <c r="M16" s="1">
        <v>8</v>
      </c>
      <c r="N16" s="1">
        <f t="shared" si="0"/>
        <v>1</v>
      </c>
      <c r="O16" s="1">
        <f t="shared" si="1"/>
        <v>1</v>
      </c>
      <c r="P16" s="1">
        <f t="shared" si="2"/>
        <v>0</v>
      </c>
      <c r="Q16" s="1">
        <f t="shared" si="3"/>
        <v>0</v>
      </c>
      <c r="R16" s="2">
        <v>8.68</v>
      </c>
      <c r="S16" s="2">
        <v>20.39</v>
      </c>
      <c r="T16" s="1" t="s">
        <v>18</v>
      </c>
      <c r="U16" s="3" t="s">
        <v>19</v>
      </c>
      <c r="V16" s="1" t="s">
        <v>20</v>
      </c>
      <c r="W16" s="1" t="s">
        <v>76</v>
      </c>
    </row>
    <row r="17" spans="1:23" x14ac:dyDescent="0.2">
      <c r="A17" s="5" t="s">
        <v>71</v>
      </c>
      <c r="B17" s="1">
        <v>1</v>
      </c>
      <c r="C17" s="1" t="s">
        <v>35</v>
      </c>
      <c r="D17" s="1">
        <v>52</v>
      </c>
      <c r="E17" t="s">
        <v>79</v>
      </c>
      <c r="F17" t="s">
        <v>77</v>
      </c>
      <c r="G17" s="1" t="s">
        <v>68</v>
      </c>
      <c r="H17" s="1" t="s">
        <v>36</v>
      </c>
      <c r="I17" s="1" t="s">
        <v>37</v>
      </c>
      <c r="J17" s="1">
        <v>8</v>
      </c>
      <c r="K17" s="1">
        <v>0</v>
      </c>
      <c r="L17" s="1">
        <v>0</v>
      </c>
      <c r="M17" s="1">
        <v>8</v>
      </c>
      <c r="N17" s="1">
        <f t="shared" si="0"/>
        <v>1</v>
      </c>
      <c r="O17" s="1">
        <f t="shared" si="1"/>
        <v>0</v>
      </c>
      <c r="P17" s="1">
        <f t="shared" si="2"/>
        <v>1</v>
      </c>
      <c r="Q17" s="1">
        <f t="shared" si="3"/>
        <v>1</v>
      </c>
      <c r="R17" s="2">
        <v>88.54</v>
      </c>
      <c r="S17" s="2">
        <v>20.05</v>
      </c>
      <c r="T17" s="1" t="s">
        <v>38</v>
      </c>
      <c r="U17" s="3" t="s">
        <v>19</v>
      </c>
      <c r="V17" s="1" t="s">
        <v>39</v>
      </c>
      <c r="W17" s="1" t="s">
        <v>76</v>
      </c>
    </row>
    <row r="18" spans="1:23" x14ac:dyDescent="0.2">
      <c r="A18" s="5" t="s">
        <v>71</v>
      </c>
      <c r="B18" s="1">
        <v>1</v>
      </c>
      <c r="C18" s="1" t="s">
        <v>40</v>
      </c>
      <c r="D18" s="1">
        <v>52</v>
      </c>
      <c r="E18" t="s">
        <v>79</v>
      </c>
      <c r="F18" t="s">
        <v>77</v>
      </c>
      <c r="G18" s="1" t="s">
        <v>68</v>
      </c>
      <c r="H18" s="1" t="s">
        <v>36</v>
      </c>
      <c r="I18" s="1" t="s">
        <v>37</v>
      </c>
      <c r="J18" s="1">
        <v>6</v>
      </c>
      <c r="K18" s="1">
        <v>2</v>
      </c>
      <c r="L18" s="1">
        <v>0</v>
      </c>
      <c r="M18" s="1">
        <v>8</v>
      </c>
      <c r="N18" s="1">
        <f t="shared" si="0"/>
        <v>1</v>
      </c>
      <c r="O18" s="1">
        <f t="shared" si="1"/>
        <v>0.25</v>
      </c>
      <c r="P18" s="1">
        <f t="shared" si="2"/>
        <v>0.75</v>
      </c>
      <c r="Q18" s="1">
        <f t="shared" si="3"/>
        <v>1</v>
      </c>
      <c r="R18" s="2">
        <v>76.540000000000006</v>
      </c>
      <c r="S18" s="2">
        <v>23.86</v>
      </c>
      <c r="T18" s="1" t="s">
        <v>38</v>
      </c>
      <c r="U18" s="3" t="s">
        <v>19</v>
      </c>
      <c r="V18" s="1" t="s">
        <v>39</v>
      </c>
      <c r="W18" s="1" t="s">
        <v>76</v>
      </c>
    </row>
    <row r="19" spans="1:23" x14ac:dyDescent="0.2">
      <c r="A19" s="5" t="s">
        <v>71</v>
      </c>
      <c r="B19" s="1">
        <v>1</v>
      </c>
      <c r="C19" s="1" t="s">
        <v>41</v>
      </c>
      <c r="D19" s="1">
        <v>52</v>
      </c>
      <c r="E19" t="s">
        <v>79</v>
      </c>
      <c r="F19" t="s">
        <v>77</v>
      </c>
      <c r="G19" s="1" t="s">
        <v>68</v>
      </c>
      <c r="H19" s="1" t="s">
        <v>36</v>
      </c>
      <c r="I19" s="1" t="s">
        <v>37</v>
      </c>
      <c r="J19" s="1">
        <v>8</v>
      </c>
      <c r="K19" s="1">
        <v>0</v>
      </c>
      <c r="L19" s="1">
        <v>2</v>
      </c>
      <c r="M19" s="1">
        <v>6</v>
      </c>
      <c r="N19" s="1">
        <f t="shared" si="0"/>
        <v>0.75</v>
      </c>
      <c r="O19" s="1">
        <f t="shared" si="1"/>
        <v>0</v>
      </c>
      <c r="P19" s="1">
        <f t="shared" si="2"/>
        <v>0.75</v>
      </c>
      <c r="Q19" s="1">
        <f t="shared" si="3"/>
        <v>0.75</v>
      </c>
      <c r="R19" s="2">
        <v>69.02</v>
      </c>
      <c r="S19" s="2">
        <v>22.21</v>
      </c>
      <c r="T19" s="1" t="s">
        <v>38</v>
      </c>
      <c r="U19" s="3" t="s">
        <v>19</v>
      </c>
      <c r="V19" s="1" t="s">
        <v>39</v>
      </c>
      <c r="W19" s="1" t="s">
        <v>76</v>
      </c>
    </row>
    <row r="20" spans="1:23" x14ac:dyDescent="0.2">
      <c r="A20" s="5" t="s">
        <v>71</v>
      </c>
      <c r="B20" s="1">
        <v>1</v>
      </c>
      <c r="C20" s="1" t="s">
        <v>42</v>
      </c>
      <c r="D20" s="1">
        <v>52</v>
      </c>
      <c r="E20" t="s">
        <v>79</v>
      </c>
      <c r="F20" t="s">
        <v>77</v>
      </c>
      <c r="G20" s="1" t="s">
        <v>68</v>
      </c>
      <c r="H20" s="1" t="s">
        <v>36</v>
      </c>
      <c r="I20" s="1" t="s">
        <v>37</v>
      </c>
      <c r="J20" s="1">
        <v>4</v>
      </c>
      <c r="K20" s="1">
        <v>4</v>
      </c>
      <c r="L20" s="1">
        <v>0</v>
      </c>
      <c r="M20" s="1">
        <v>8</v>
      </c>
      <c r="N20" s="1">
        <f t="shared" si="0"/>
        <v>1</v>
      </c>
      <c r="O20" s="1">
        <f t="shared" si="1"/>
        <v>0.5</v>
      </c>
      <c r="P20" s="1">
        <f t="shared" si="2"/>
        <v>0.5</v>
      </c>
      <c r="Q20" s="1">
        <f t="shared" si="3"/>
        <v>1</v>
      </c>
      <c r="R20" s="2">
        <v>70.849999999999994</v>
      </c>
      <c r="S20" s="2">
        <v>23.19</v>
      </c>
      <c r="T20" s="1" t="s">
        <v>38</v>
      </c>
      <c r="U20" s="3" t="s">
        <v>19</v>
      </c>
      <c r="V20" s="1" t="s">
        <v>39</v>
      </c>
      <c r="W20" s="1" t="s">
        <v>76</v>
      </c>
    </row>
    <row r="21" spans="1:23" x14ac:dyDescent="0.2">
      <c r="A21" s="5" t="s">
        <v>71</v>
      </c>
      <c r="B21" s="1">
        <v>1</v>
      </c>
      <c r="C21" s="1" t="s">
        <v>43</v>
      </c>
      <c r="D21" s="1">
        <v>52</v>
      </c>
      <c r="E21" t="s">
        <v>79</v>
      </c>
      <c r="F21" t="s">
        <v>77</v>
      </c>
      <c r="G21" s="1" t="s">
        <v>68</v>
      </c>
      <c r="H21" s="1" t="s">
        <v>36</v>
      </c>
      <c r="I21" s="1" t="s">
        <v>37</v>
      </c>
      <c r="J21" s="1">
        <v>6</v>
      </c>
      <c r="K21" s="1">
        <v>2</v>
      </c>
      <c r="L21" s="1">
        <v>2</v>
      </c>
      <c r="M21" s="1">
        <v>6</v>
      </c>
      <c r="N21" s="1">
        <f t="shared" si="0"/>
        <v>0.75</v>
      </c>
      <c r="O21" s="1">
        <f t="shared" si="1"/>
        <v>0.25</v>
      </c>
      <c r="P21" s="1">
        <f t="shared" si="2"/>
        <v>0.5</v>
      </c>
      <c r="Q21" s="1">
        <f t="shared" si="3"/>
        <v>0.66666666666666663</v>
      </c>
      <c r="R21" s="2">
        <v>54.02</v>
      </c>
      <c r="S21" s="2">
        <v>23.77</v>
      </c>
      <c r="T21" s="1" t="s">
        <v>38</v>
      </c>
      <c r="U21" s="3" t="s">
        <v>19</v>
      </c>
      <c r="V21" s="1" t="s">
        <v>39</v>
      </c>
      <c r="W21" s="1" t="s">
        <v>76</v>
      </c>
    </row>
    <row r="22" spans="1:23" x14ac:dyDescent="0.2">
      <c r="A22" s="5" t="s">
        <v>71</v>
      </c>
      <c r="B22" s="1">
        <v>1</v>
      </c>
      <c r="C22" s="1" t="s">
        <v>44</v>
      </c>
      <c r="D22" s="1">
        <v>52</v>
      </c>
      <c r="E22" t="s">
        <v>79</v>
      </c>
      <c r="F22" t="s">
        <v>77</v>
      </c>
      <c r="G22" s="1" t="s">
        <v>68</v>
      </c>
      <c r="H22" s="1" t="s">
        <v>36</v>
      </c>
      <c r="I22" s="1" t="s">
        <v>37</v>
      </c>
      <c r="J22" s="1">
        <v>8</v>
      </c>
      <c r="K22" s="1">
        <v>0</v>
      </c>
      <c r="L22" s="1">
        <v>4</v>
      </c>
      <c r="M22" s="1">
        <v>4</v>
      </c>
      <c r="N22" s="1">
        <f t="shared" si="0"/>
        <v>0.5</v>
      </c>
      <c r="O22" s="1">
        <f t="shared" si="1"/>
        <v>0</v>
      </c>
      <c r="P22" s="1">
        <f t="shared" si="2"/>
        <v>0.5</v>
      </c>
      <c r="Q22" s="1">
        <f t="shared" si="3"/>
        <v>0.5</v>
      </c>
      <c r="R22" s="2">
        <v>57</v>
      </c>
      <c r="S22" s="2">
        <v>22.73</v>
      </c>
      <c r="T22" s="1" t="s">
        <v>38</v>
      </c>
      <c r="U22" s="3" t="s">
        <v>19</v>
      </c>
      <c r="V22" s="1" t="s">
        <v>39</v>
      </c>
      <c r="W22" s="1" t="s">
        <v>76</v>
      </c>
    </row>
    <row r="23" spans="1:23" x14ac:dyDescent="0.2">
      <c r="A23" s="5" t="s">
        <v>71</v>
      </c>
      <c r="B23" s="1">
        <v>1</v>
      </c>
      <c r="C23" s="1" t="s">
        <v>45</v>
      </c>
      <c r="D23" s="1">
        <v>52</v>
      </c>
      <c r="E23" t="s">
        <v>79</v>
      </c>
      <c r="F23" t="s">
        <v>77</v>
      </c>
      <c r="G23" s="1" t="s">
        <v>68</v>
      </c>
      <c r="H23" s="1" t="s">
        <v>36</v>
      </c>
      <c r="I23" s="1" t="s">
        <v>37</v>
      </c>
      <c r="J23" s="1">
        <v>2</v>
      </c>
      <c r="K23" s="1">
        <v>6</v>
      </c>
      <c r="L23" s="1">
        <v>0</v>
      </c>
      <c r="M23" s="1">
        <v>8</v>
      </c>
      <c r="N23" s="1">
        <f t="shared" si="0"/>
        <v>1</v>
      </c>
      <c r="O23" s="1">
        <f t="shared" si="1"/>
        <v>0.75</v>
      </c>
      <c r="P23" s="1">
        <f t="shared" si="2"/>
        <v>0.25</v>
      </c>
      <c r="Q23" s="1">
        <f t="shared" si="3"/>
        <v>1</v>
      </c>
      <c r="R23" s="2">
        <v>57.62</v>
      </c>
      <c r="S23" s="2">
        <v>32.35</v>
      </c>
      <c r="T23" s="1" t="s">
        <v>38</v>
      </c>
      <c r="U23" s="3" t="s">
        <v>19</v>
      </c>
      <c r="V23" s="1" t="s">
        <v>39</v>
      </c>
      <c r="W23" s="1" t="s">
        <v>76</v>
      </c>
    </row>
    <row r="24" spans="1:23" x14ac:dyDescent="0.2">
      <c r="A24" s="5" t="s">
        <v>71</v>
      </c>
      <c r="B24" s="1">
        <v>1</v>
      </c>
      <c r="C24" s="1" t="s">
        <v>46</v>
      </c>
      <c r="D24" s="1">
        <v>52</v>
      </c>
      <c r="E24" t="s">
        <v>79</v>
      </c>
      <c r="F24" t="s">
        <v>77</v>
      </c>
      <c r="G24" s="1" t="s">
        <v>68</v>
      </c>
      <c r="H24" s="1" t="s">
        <v>36</v>
      </c>
      <c r="I24" s="1" t="s">
        <v>37</v>
      </c>
      <c r="J24" s="1">
        <v>4</v>
      </c>
      <c r="K24" s="1">
        <v>4</v>
      </c>
      <c r="L24" s="1">
        <v>2</v>
      </c>
      <c r="M24" s="1">
        <v>6</v>
      </c>
      <c r="N24" s="1">
        <f t="shared" si="0"/>
        <v>0.75</v>
      </c>
      <c r="O24" s="1">
        <f t="shared" si="1"/>
        <v>0.5</v>
      </c>
      <c r="P24" s="1">
        <f t="shared" si="2"/>
        <v>0.25</v>
      </c>
      <c r="Q24" s="1">
        <f t="shared" si="3"/>
        <v>0.5</v>
      </c>
      <c r="R24" s="2">
        <v>47.06</v>
      </c>
      <c r="S24" s="2">
        <v>26.49</v>
      </c>
      <c r="T24" s="1" t="s">
        <v>38</v>
      </c>
      <c r="U24" s="3" t="s">
        <v>19</v>
      </c>
      <c r="V24" s="1" t="s">
        <v>39</v>
      </c>
      <c r="W24" s="1" t="s">
        <v>76</v>
      </c>
    </row>
    <row r="25" spans="1:23" x14ac:dyDescent="0.2">
      <c r="A25" s="5" t="s">
        <v>71</v>
      </c>
      <c r="B25" s="1">
        <v>1</v>
      </c>
      <c r="C25" s="1" t="s">
        <v>47</v>
      </c>
      <c r="D25" s="1">
        <v>52</v>
      </c>
      <c r="E25" t="s">
        <v>79</v>
      </c>
      <c r="F25" t="s">
        <v>77</v>
      </c>
      <c r="G25" s="1" t="s">
        <v>68</v>
      </c>
      <c r="H25" s="1" t="s">
        <v>36</v>
      </c>
      <c r="I25" s="1" t="s">
        <v>37</v>
      </c>
      <c r="J25" s="1">
        <v>6</v>
      </c>
      <c r="K25" s="1">
        <v>2</v>
      </c>
      <c r="L25" s="1">
        <v>4</v>
      </c>
      <c r="M25" s="1">
        <v>4</v>
      </c>
      <c r="N25" s="1">
        <f t="shared" si="0"/>
        <v>0.5</v>
      </c>
      <c r="O25" s="1">
        <f t="shared" si="1"/>
        <v>0.25</v>
      </c>
      <c r="P25" s="1">
        <f t="shared" si="2"/>
        <v>0.25</v>
      </c>
      <c r="Q25" s="1">
        <f t="shared" si="3"/>
        <v>0.33333333333333331</v>
      </c>
      <c r="R25" s="2">
        <v>45.71</v>
      </c>
      <c r="S25" s="2">
        <v>22.53</v>
      </c>
      <c r="T25" s="1" t="s">
        <v>38</v>
      </c>
      <c r="U25" s="3" t="s">
        <v>19</v>
      </c>
      <c r="V25" s="1" t="s">
        <v>39</v>
      </c>
      <c r="W25" s="1" t="s">
        <v>76</v>
      </c>
    </row>
    <row r="26" spans="1:23" x14ac:dyDescent="0.2">
      <c r="A26" s="5" t="s">
        <v>71</v>
      </c>
      <c r="B26" s="1">
        <v>1</v>
      </c>
      <c r="C26" s="1" t="s">
        <v>48</v>
      </c>
      <c r="D26" s="1">
        <v>52</v>
      </c>
      <c r="E26" t="s">
        <v>79</v>
      </c>
      <c r="F26" t="s">
        <v>77</v>
      </c>
      <c r="G26" s="1" t="s">
        <v>68</v>
      </c>
      <c r="H26" s="1" t="s">
        <v>36</v>
      </c>
      <c r="I26" s="1" t="s">
        <v>37</v>
      </c>
      <c r="J26" s="1">
        <v>8</v>
      </c>
      <c r="K26" s="1">
        <v>0</v>
      </c>
      <c r="L26" s="1">
        <v>6</v>
      </c>
      <c r="M26" s="1">
        <v>2</v>
      </c>
      <c r="N26" s="1">
        <f t="shared" si="0"/>
        <v>0.25</v>
      </c>
      <c r="O26" s="1">
        <f t="shared" si="1"/>
        <v>0</v>
      </c>
      <c r="P26" s="1">
        <f t="shared" si="2"/>
        <v>0.25</v>
      </c>
      <c r="Q26" s="1">
        <f t="shared" si="3"/>
        <v>0.25</v>
      </c>
      <c r="R26" s="2">
        <v>33.69</v>
      </c>
      <c r="S26" s="2">
        <v>26.67</v>
      </c>
      <c r="T26" s="1" t="s">
        <v>38</v>
      </c>
      <c r="U26" s="3" t="s">
        <v>19</v>
      </c>
      <c r="V26" s="1" t="s">
        <v>39</v>
      </c>
      <c r="W26" s="1" t="s">
        <v>76</v>
      </c>
    </row>
    <row r="27" spans="1:23" x14ac:dyDescent="0.2">
      <c r="A27" s="5" t="s">
        <v>71</v>
      </c>
      <c r="B27" s="1">
        <v>1</v>
      </c>
      <c r="C27" s="1" t="s">
        <v>49</v>
      </c>
      <c r="D27" s="1">
        <v>52</v>
      </c>
      <c r="E27" t="s">
        <v>79</v>
      </c>
      <c r="F27" t="s">
        <v>77</v>
      </c>
      <c r="G27" s="1" t="s">
        <v>68</v>
      </c>
      <c r="H27" s="1" t="s">
        <v>36</v>
      </c>
      <c r="I27" s="1" t="s">
        <v>37</v>
      </c>
      <c r="J27" s="1">
        <v>0</v>
      </c>
      <c r="K27" s="1">
        <v>8</v>
      </c>
      <c r="L27" s="1">
        <v>0</v>
      </c>
      <c r="M27" s="1">
        <v>8</v>
      </c>
      <c r="N27" s="1">
        <f t="shared" si="0"/>
        <v>1</v>
      </c>
      <c r="O27" s="1">
        <f t="shared" si="1"/>
        <v>1</v>
      </c>
      <c r="P27" s="1">
        <f t="shared" si="2"/>
        <v>0</v>
      </c>
      <c r="R27" s="2">
        <v>41.1</v>
      </c>
      <c r="S27" s="2">
        <v>36.85</v>
      </c>
      <c r="T27" s="1" t="s">
        <v>38</v>
      </c>
      <c r="U27" s="3" t="s">
        <v>19</v>
      </c>
      <c r="V27" s="1" t="s">
        <v>39</v>
      </c>
      <c r="W27" s="1" t="s">
        <v>76</v>
      </c>
    </row>
    <row r="28" spans="1:23" x14ac:dyDescent="0.2">
      <c r="A28" s="5" t="s">
        <v>71</v>
      </c>
      <c r="B28" s="1">
        <v>1</v>
      </c>
      <c r="C28" s="1" t="s">
        <v>50</v>
      </c>
      <c r="D28" s="1">
        <v>52</v>
      </c>
      <c r="E28" t="s">
        <v>79</v>
      </c>
      <c r="F28" t="s">
        <v>77</v>
      </c>
      <c r="G28" s="1" t="s">
        <v>68</v>
      </c>
      <c r="H28" s="1" t="s">
        <v>36</v>
      </c>
      <c r="I28" s="1" t="s">
        <v>37</v>
      </c>
      <c r="J28" s="1">
        <v>2</v>
      </c>
      <c r="K28" s="1">
        <v>6</v>
      </c>
      <c r="L28" s="1">
        <v>2</v>
      </c>
      <c r="M28" s="1">
        <v>6</v>
      </c>
      <c r="N28" s="1">
        <f t="shared" si="0"/>
        <v>0.75</v>
      </c>
      <c r="O28" s="1">
        <f t="shared" si="1"/>
        <v>0.75</v>
      </c>
      <c r="P28" s="1">
        <f t="shared" si="2"/>
        <v>0</v>
      </c>
      <c r="Q28" s="1">
        <f t="shared" si="3"/>
        <v>0</v>
      </c>
      <c r="R28" s="2">
        <v>42.62</v>
      </c>
      <c r="S28" s="2">
        <v>27.06</v>
      </c>
      <c r="T28" s="1" t="s">
        <v>38</v>
      </c>
      <c r="U28" s="3" t="s">
        <v>19</v>
      </c>
      <c r="V28" s="1" t="s">
        <v>39</v>
      </c>
      <c r="W28" s="1" t="s">
        <v>76</v>
      </c>
    </row>
    <row r="29" spans="1:23" x14ac:dyDescent="0.2">
      <c r="A29" s="5" t="s">
        <v>71</v>
      </c>
      <c r="B29" s="1">
        <v>1</v>
      </c>
      <c r="C29" s="1" t="s">
        <v>51</v>
      </c>
      <c r="D29" s="1">
        <v>52</v>
      </c>
      <c r="E29" t="s">
        <v>79</v>
      </c>
      <c r="F29" t="s">
        <v>77</v>
      </c>
      <c r="G29" s="1" t="s">
        <v>68</v>
      </c>
      <c r="H29" s="1" t="s">
        <v>36</v>
      </c>
      <c r="I29" s="1" t="s">
        <v>37</v>
      </c>
      <c r="J29" s="1">
        <v>4</v>
      </c>
      <c r="K29" s="1">
        <v>4</v>
      </c>
      <c r="L29" s="1">
        <v>4</v>
      </c>
      <c r="M29" s="1">
        <v>4</v>
      </c>
      <c r="N29" s="1">
        <f t="shared" si="0"/>
        <v>0.5</v>
      </c>
      <c r="O29" s="1">
        <f t="shared" si="1"/>
        <v>0.5</v>
      </c>
      <c r="P29" s="1">
        <f t="shared" si="2"/>
        <v>0</v>
      </c>
      <c r="Q29" s="1">
        <f t="shared" si="3"/>
        <v>0</v>
      </c>
      <c r="R29" s="2">
        <v>36.6</v>
      </c>
      <c r="S29" s="2">
        <v>24.91</v>
      </c>
      <c r="T29" s="1" t="s">
        <v>38</v>
      </c>
      <c r="U29" s="3" t="s">
        <v>19</v>
      </c>
      <c r="V29" s="1" t="s">
        <v>39</v>
      </c>
      <c r="W29" s="1" t="s">
        <v>76</v>
      </c>
    </row>
    <row r="30" spans="1:23" x14ac:dyDescent="0.2">
      <c r="A30" s="5" t="s">
        <v>71</v>
      </c>
      <c r="B30" s="1">
        <v>1</v>
      </c>
      <c r="C30" s="1" t="s">
        <v>52</v>
      </c>
      <c r="D30" s="1">
        <v>52</v>
      </c>
      <c r="E30" t="s">
        <v>79</v>
      </c>
      <c r="F30" t="s">
        <v>77</v>
      </c>
      <c r="G30" s="1" t="s">
        <v>68</v>
      </c>
      <c r="H30" s="1" t="s">
        <v>36</v>
      </c>
      <c r="I30" s="1" t="s">
        <v>37</v>
      </c>
      <c r="J30" s="1">
        <v>6</v>
      </c>
      <c r="K30" s="1">
        <v>2</v>
      </c>
      <c r="L30" s="1">
        <v>6</v>
      </c>
      <c r="M30" s="1">
        <v>2</v>
      </c>
      <c r="N30" s="1">
        <f t="shared" si="0"/>
        <v>0.25</v>
      </c>
      <c r="O30" s="1">
        <f t="shared" si="1"/>
        <v>0.25</v>
      </c>
      <c r="P30" s="1">
        <f t="shared" si="2"/>
        <v>0</v>
      </c>
      <c r="Q30" s="1">
        <f t="shared" si="3"/>
        <v>0</v>
      </c>
      <c r="R30" s="2">
        <v>28.62</v>
      </c>
      <c r="S30" s="2">
        <v>21.45</v>
      </c>
      <c r="T30" s="1" t="s">
        <v>38</v>
      </c>
      <c r="U30" s="3" t="s">
        <v>19</v>
      </c>
      <c r="V30" s="1" t="s">
        <v>39</v>
      </c>
      <c r="W30" s="1" t="s">
        <v>76</v>
      </c>
    </row>
    <row r="31" spans="1:23" x14ac:dyDescent="0.2">
      <c r="A31" s="5" t="s">
        <v>71</v>
      </c>
      <c r="B31" s="1">
        <v>1</v>
      </c>
      <c r="C31" s="1" t="s">
        <v>53</v>
      </c>
      <c r="D31" s="1">
        <v>52</v>
      </c>
      <c r="E31" t="s">
        <v>79</v>
      </c>
      <c r="F31" t="s">
        <v>77</v>
      </c>
      <c r="G31" s="1" t="s">
        <v>68</v>
      </c>
      <c r="H31" s="1" t="s">
        <v>36</v>
      </c>
      <c r="I31" s="1" t="s">
        <v>37</v>
      </c>
      <c r="J31" s="1">
        <v>8</v>
      </c>
      <c r="K31" s="1">
        <v>0</v>
      </c>
      <c r="L31" s="1">
        <v>8</v>
      </c>
      <c r="M31" s="1">
        <v>0</v>
      </c>
      <c r="N31" s="1">
        <f t="shared" si="0"/>
        <v>0</v>
      </c>
      <c r="O31" s="1">
        <f t="shared" si="1"/>
        <v>0</v>
      </c>
      <c r="P31" s="1">
        <f t="shared" si="2"/>
        <v>0</v>
      </c>
      <c r="Q31" s="1">
        <f t="shared" si="3"/>
        <v>0</v>
      </c>
      <c r="R31" s="2">
        <v>9.4600000000000009</v>
      </c>
      <c r="S31" s="2">
        <v>20.03</v>
      </c>
      <c r="T31" s="1" t="s">
        <v>38</v>
      </c>
      <c r="U31" s="3" t="s">
        <v>19</v>
      </c>
      <c r="V31" s="1" t="s">
        <v>39</v>
      </c>
      <c r="W31" s="1" t="s">
        <v>76</v>
      </c>
    </row>
    <row r="32" spans="1:23" x14ac:dyDescent="0.2">
      <c r="A32" s="5" t="s">
        <v>71</v>
      </c>
      <c r="B32" s="1">
        <v>2</v>
      </c>
      <c r="C32" s="1" t="s">
        <v>54</v>
      </c>
      <c r="D32" s="1">
        <v>51</v>
      </c>
      <c r="E32" s="1" t="s">
        <v>73</v>
      </c>
      <c r="F32" s="1" t="s">
        <v>81</v>
      </c>
      <c r="G32" s="1" t="s">
        <v>15</v>
      </c>
      <c r="H32" s="1" t="s">
        <v>55</v>
      </c>
      <c r="I32" s="1" t="s">
        <v>56</v>
      </c>
      <c r="J32" s="1">
        <v>18</v>
      </c>
      <c r="K32" s="1">
        <v>18</v>
      </c>
      <c r="L32" s="1">
        <v>0</v>
      </c>
      <c r="M32" s="1">
        <v>36</v>
      </c>
      <c r="N32" s="1">
        <f t="shared" si="0"/>
        <v>1</v>
      </c>
      <c r="O32" s="1">
        <f t="shared" si="1"/>
        <v>0.5</v>
      </c>
      <c r="P32" s="1">
        <f t="shared" si="2"/>
        <v>0.5</v>
      </c>
      <c r="Q32" s="1">
        <f t="shared" si="3"/>
        <v>1</v>
      </c>
      <c r="R32" s="2">
        <v>85.7</v>
      </c>
      <c r="S32" s="2">
        <v>26.5</v>
      </c>
      <c r="T32" s="1" t="s">
        <v>57</v>
      </c>
      <c r="U32" s="3" t="s">
        <v>58</v>
      </c>
      <c r="W32" s="1" t="s">
        <v>76</v>
      </c>
    </row>
    <row r="33" spans="1:23" x14ac:dyDescent="0.2">
      <c r="A33" s="5" t="s">
        <v>71</v>
      </c>
      <c r="B33" s="1">
        <v>2</v>
      </c>
      <c r="C33" s="1" t="s">
        <v>59</v>
      </c>
      <c r="D33" s="1">
        <v>51</v>
      </c>
      <c r="E33" s="1" t="s">
        <v>73</v>
      </c>
      <c r="F33" s="1" t="s">
        <v>81</v>
      </c>
      <c r="G33" s="1" t="s">
        <v>15</v>
      </c>
      <c r="H33" s="1" t="s">
        <v>55</v>
      </c>
      <c r="I33" s="1" t="s">
        <v>56</v>
      </c>
      <c r="J33" s="1">
        <v>24</v>
      </c>
      <c r="K33" s="1">
        <v>12</v>
      </c>
      <c r="L33" s="1">
        <v>6</v>
      </c>
      <c r="M33" s="1">
        <v>30</v>
      </c>
      <c r="N33" s="1">
        <f t="shared" si="0"/>
        <v>0.83333333333333337</v>
      </c>
      <c r="O33" s="1">
        <f t="shared" si="1"/>
        <v>0.33333333333333331</v>
      </c>
      <c r="P33" s="1">
        <f t="shared" si="2"/>
        <v>0.5</v>
      </c>
      <c r="Q33" s="1">
        <f t="shared" si="3"/>
        <v>0.74999999999999989</v>
      </c>
      <c r="R33" s="2">
        <v>67.8</v>
      </c>
      <c r="S33" s="2">
        <v>19.100000000000001</v>
      </c>
      <c r="T33" s="1" t="s">
        <v>57</v>
      </c>
      <c r="U33" s="3" t="s">
        <v>58</v>
      </c>
      <c r="W33" s="1" t="s">
        <v>76</v>
      </c>
    </row>
    <row r="34" spans="1:23" x14ac:dyDescent="0.2">
      <c r="A34" s="5" t="s">
        <v>71</v>
      </c>
      <c r="B34" s="1">
        <v>2</v>
      </c>
      <c r="C34" s="1" t="s">
        <v>60</v>
      </c>
      <c r="D34" s="1">
        <v>51</v>
      </c>
      <c r="E34" s="1" t="s">
        <v>73</v>
      </c>
      <c r="F34" s="1" t="s">
        <v>81</v>
      </c>
      <c r="G34" s="1" t="s">
        <v>15</v>
      </c>
      <c r="H34" s="1" t="s">
        <v>55</v>
      </c>
      <c r="I34" s="1" t="s">
        <v>56</v>
      </c>
      <c r="J34" s="1">
        <v>36</v>
      </c>
      <c r="K34" s="1">
        <v>0</v>
      </c>
      <c r="L34" s="1">
        <v>9</v>
      </c>
      <c r="M34" s="1">
        <v>27</v>
      </c>
      <c r="N34" s="1">
        <f t="shared" si="0"/>
        <v>0.75</v>
      </c>
      <c r="O34" s="1">
        <f t="shared" si="1"/>
        <v>0</v>
      </c>
      <c r="P34" s="1">
        <f t="shared" si="2"/>
        <v>0.75</v>
      </c>
      <c r="Q34" s="1">
        <f t="shared" si="3"/>
        <v>0.75</v>
      </c>
      <c r="R34" s="2">
        <v>74.400000000000006</v>
      </c>
      <c r="S34" s="2">
        <v>5.7</v>
      </c>
      <c r="T34" s="1" t="s">
        <v>57</v>
      </c>
      <c r="U34" s="3" t="s">
        <v>58</v>
      </c>
      <c r="W34" s="1" t="s">
        <v>76</v>
      </c>
    </row>
    <row r="35" spans="1:23" x14ac:dyDescent="0.2">
      <c r="A35" s="5" t="s">
        <v>71</v>
      </c>
      <c r="B35" s="1">
        <v>2</v>
      </c>
      <c r="C35" s="1" t="s">
        <v>61</v>
      </c>
      <c r="D35" s="1">
        <v>51</v>
      </c>
      <c r="E35" s="1" t="s">
        <v>73</v>
      </c>
      <c r="F35" s="1" t="s">
        <v>81</v>
      </c>
      <c r="G35" s="1" t="s">
        <v>15</v>
      </c>
      <c r="H35" s="1" t="s">
        <v>55</v>
      </c>
      <c r="I35" s="1" t="s">
        <v>56</v>
      </c>
      <c r="J35" s="1">
        <v>36</v>
      </c>
      <c r="K35" s="1">
        <v>0</v>
      </c>
      <c r="L35" s="1">
        <v>18</v>
      </c>
      <c r="M35" s="1">
        <v>18</v>
      </c>
      <c r="N35" s="1">
        <f t="shared" si="0"/>
        <v>0.5</v>
      </c>
      <c r="O35" s="1">
        <f t="shared" si="1"/>
        <v>0</v>
      </c>
      <c r="P35" s="1">
        <f t="shared" si="2"/>
        <v>0.5</v>
      </c>
      <c r="Q35" s="1">
        <f t="shared" si="3"/>
        <v>0.5</v>
      </c>
      <c r="R35" s="2">
        <v>48.5</v>
      </c>
      <c r="S35" s="2">
        <v>14.1</v>
      </c>
      <c r="T35" s="1" t="s">
        <v>57</v>
      </c>
      <c r="U35" s="3" t="s">
        <v>58</v>
      </c>
      <c r="W35" s="1" t="s">
        <v>76</v>
      </c>
    </row>
    <row r="36" spans="1:23" x14ac:dyDescent="0.2">
      <c r="A36" s="5" t="s">
        <v>71</v>
      </c>
      <c r="B36" s="1">
        <v>2</v>
      </c>
      <c r="C36" s="1" t="s">
        <v>62</v>
      </c>
      <c r="D36" s="1">
        <v>51</v>
      </c>
      <c r="E36" s="1" t="s">
        <v>73</v>
      </c>
      <c r="F36" s="1" t="s">
        <v>81</v>
      </c>
      <c r="G36" s="1" t="s">
        <v>15</v>
      </c>
      <c r="H36" s="1" t="s">
        <v>55</v>
      </c>
      <c r="I36" s="1" t="s">
        <v>56</v>
      </c>
      <c r="J36" s="1">
        <v>12</v>
      </c>
      <c r="K36" s="1">
        <v>24</v>
      </c>
      <c r="L36" s="1">
        <v>30</v>
      </c>
      <c r="M36" s="1">
        <v>6</v>
      </c>
      <c r="N36" s="1">
        <f t="shared" si="0"/>
        <v>0.16666666666666666</v>
      </c>
      <c r="O36" s="1">
        <f t="shared" si="1"/>
        <v>0.66666666666666663</v>
      </c>
      <c r="P36" s="1">
        <f t="shared" si="2"/>
        <v>-0.5</v>
      </c>
      <c r="Q36" s="1">
        <f t="shared" si="3"/>
        <v>0.75</v>
      </c>
      <c r="R36" s="2">
        <v>-59.7</v>
      </c>
      <c r="S36" s="2">
        <v>31.4</v>
      </c>
      <c r="T36" s="1" t="s">
        <v>57</v>
      </c>
      <c r="U36" s="3" t="s">
        <v>58</v>
      </c>
      <c r="W36" s="1" t="s">
        <v>76</v>
      </c>
    </row>
    <row r="37" spans="1:23" x14ac:dyDescent="0.2">
      <c r="A37" s="5" t="s">
        <v>71</v>
      </c>
      <c r="B37" s="1">
        <v>2</v>
      </c>
      <c r="C37" s="1" t="s">
        <v>63</v>
      </c>
      <c r="D37" s="1">
        <v>51</v>
      </c>
      <c r="E37" s="1" t="s">
        <v>73</v>
      </c>
      <c r="F37" s="1" t="s">
        <v>81</v>
      </c>
      <c r="G37" s="1" t="s">
        <v>15</v>
      </c>
      <c r="H37" s="1" t="s">
        <v>55</v>
      </c>
      <c r="I37" s="1" t="s">
        <v>56</v>
      </c>
      <c r="J37" s="1">
        <v>0</v>
      </c>
      <c r="K37" s="1">
        <v>36</v>
      </c>
      <c r="L37" s="1">
        <v>27</v>
      </c>
      <c r="M37" s="1">
        <v>9</v>
      </c>
      <c r="N37" s="1">
        <f t="shared" si="0"/>
        <v>0.25</v>
      </c>
      <c r="O37" s="1">
        <f t="shared" si="1"/>
        <v>1</v>
      </c>
      <c r="P37" s="1">
        <f t="shared" si="2"/>
        <v>-0.75</v>
      </c>
      <c r="Q37" s="1">
        <f t="shared" si="3"/>
        <v>0.75</v>
      </c>
      <c r="R37" s="2">
        <v>-66.5</v>
      </c>
      <c r="S37" s="2">
        <v>18.8</v>
      </c>
      <c r="T37" s="1" t="s">
        <v>57</v>
      </c>
      <c r="U37" s="3" t="s">
        <v>58</v>
      </c>
      <c r="W37" s="1" t="s">
        <v>76</v>
      </c>
    </row>
    <row r="38" spans="1:23" x14ac:dyDescent="0.2">
      <c r="A38" s="5" t="s">
        <v>71</v>
      </c>
      <c r="B38" s="1">
        <v>2</v>
      </c>
      <c r="C38" s="1" t="s">
        <v>64</v>
      </c>
      <c r="D38" s="1">
        <v>51</v>
      </c>
      <c r="E38" s="1" t="s">
        <v>73</v>
      </c>
      <c r="F38" s="1" t="s">
        <v>81</v>
      </c>
      <c r="G38" s="1" t="s">
        <v>15</v>
      </c>
      <c r="H38" s="1" t="s">
        <v>55</v>
      </c>
      <c r="I38" s="1" t="s">
        <v>56</v>
      </c>
      <c r="J38" s="1">
        <v>0</v>
      </c>
      <c r="K38" s="1">
        <v>36</v>
      </c>
      <c r="L38" s="1">
        <v>18</v>
      </c>
      <c r="M38" s="1">
        <v>18</v>
      </c>
      <c r="N38" s="1">
        <f t="shared" si="0"/>
        <v>0.5</v>
      </c>
      <c r="O38" s="1">
        <f t="shared" si="1"/>
        <v>1</v>
      </c>
      <c r="P38" s="1">
        <f t="shared" si="2"/>
        <v>-0.5</v>
      </c>
      <c r="Q38" s="1">
        <f t="shared" si="3"/>
        <v>0.5</v>
      </c>
      <c r="R38" s="2">
        <v>-44.5</v>
      </c>
      <c r="S38" s="2">
        <v>21.1</v>
      </c>
      <c r="T38" s="1" t="s">
        <v>57</v>
      </c>
      <c r="U38" s="3" t="s">
        <v>58</v>
      </c>
      <c r="W38" s="1" t="s">
        <v>76</v>
      </c>
    </row>
    <row r="39" spans="1:23" x14ac:dyDescent="0.2">
      <c r="A39" s="5" t="s">
        <v>71</v>
      </c>
      <c r="B39" s="1">
        <v>2</v>
      </c>
      <c r="C39" s="1" t="s">
        <v>65</v>
      </c>
      <c r="D39" s="1">
        <v>51</v>
      </c>
      <c r="E39" s="1" t="s">
        <v>73</v>
      </c>
      <c r="F39" s="1" t="s">
        <v>81</v>
      </c>
      <c r="G39" s="1" t="s">
        <v>15</v>
      </c>
      <c r="H39" s="1" t="s">
        <v>55</v>
      </c>
      <c r="I39" s="1" t="s">
        <v>56</v>
      </c>
      <c r="J39" s="1">
        <v>24</v>
      </c>
      <c r="K39" s="1">
        <v>12</v>
      </c>
      <c r="L39" s="1">
        <v>24</v>
      </c>
      <c r="M39" s="1">
        <v>12</v>
      </c>
      <c r="N39" s="1">
        <f t="shared" si="0"/>
        <v>0.33333333333333331</v>
      </c>
      <c r="O39" s="1">
        <f t="shared" si="1"/>
        <v>0.33333333333333331</v>
      </c>
      <c r="P39" s="1">
        <f t="shared" si="2"/>
        <v>0</v>
      </c>
      <c r="Q39" s="1">
        <f t="shared" si="3"/>
        <v>0</v>
      </c>
      <c r="R39" s="2">
        <v>-0.5</v>
      </c>
      <c r="S39" s="2">
        <v>4.8600000000000003</v>
      </c>
      <c r="T39" s="1" t="s">
        <v>57</v>
      </c>
      <c r="U39" s="3" t="s">
        <v>58</v>
      </c>
      <c r="W39" s="1" t="s">
        <v>76</v>
      </c>
    </row>
    <row r="40" spans="1:23" x14ac:dyDescent="0.2">
      <c r="A40" s="5" t="s">
        <v>71</v>
      </c>
      <c r="B40" s="1">
        <v>2</v>
      </c>
      <c r="C40" s="1" t="s">
        <v>66</v>
      </c>
      <c r="D40" s="1">
        <v>51</v>
      </c>
      <c r="E40" s="1" t="s">
        <v>73</v>
      </c>
      <c r="F40" s="1" t="s">
        <v>81</v>
      </c>
      <c r="G40" s="1" t="s">
        <v>15</v>
      </c>
      <c r="H40" s="1" t="s">
        <v>55</v>
      </c>
      <c r="I40" s="1" t="s">
        <v>56</v>
      </c>
      <c r="J40" s="1">
        <v>12</v>
      </c>
      <c r="K40" s="1">
        <v>24</v>
      </c>
      <c r="L40" s="1">
        <v>12</v>
      </c>
      <c r="M40" s="1">
        <v>24</v>
      </c>
      <c r="N40" s="1">
        <f t="shared" si="0"/>
        <v>0.66666666666666663</v>
      </c>
      <c r="O40" s="1">
        <f t="shared" si="1"/>
        <v>0.66666666666666663</v>
      </c>
      <c r="P40" s="1">
        <f t="shared" si="2"/>
        <v>0</v>
      </c>
      <c r="Q40" s="1">
        <f t="shared" si="3"/>
        <v>0</v>
      </c>
      <c r="R40" s="2">
        <v>0.7</v>
      </c>
      <c r="S40" s="2">
        <v>3.78</v>
      </c>
      <c r="T40" s="1" t="s">
        <v>57</v>
      </c>
      <c r="U40" s="3" t="s">
        <v>58</v>
      </c>
      <c r="W40" s="1" t="s">
        <v>76</v>
      </c>
    </row>
    <row r="41" spans="1:23" x14ac:dyDescent="0.2">
      <c r="A41" s="5" t="s">
        <v>71</v>
      </c>
      <c r="B41" s="1">
        <v>2</v>
      </c>
      <c r="C41" s="1" t="s">
        <v>67</v>
      </c>
      <c r="D41" s="1">
        <v>51</v>
      </c>
      <c r="E41" s="1" t="s">
        <v>73</v>
      </c>
      <c r="F41" s="1" t="s">
        <v>81</v>
      </c>
      <c r="G41" s="1" t="s">
        <v>15</v>
      </c>
      <c r="H41" s="1" t="s">
        <v>55</v>
      </c>
      <c r="I41" s="1" t="s">
        <v>56</v>
      </c>
      <c r="J41" s="1">
        <v>18</v>
      </c>
      <c r="K41" s="1">
        <v>18</v>
      </c>
      <c r="L41" s="1">
        <v>36</v>
      </c>
      <c r="M41" s="1">
        <v>0</v>
      </c>
      <c r="N41" s="1">
        <f t="shared" si="0"/>
        <v>0</v>
      </c>
      <c r="O41" s="1">
        <f t="shared" si="1"/>
        <v>0.5</v>
      </c>
      <c r="P41" s="1">
        <f t="shared" si="2"/>
        <v>-0.5</v>
      </c>
      <c r="Q41" s="1">
        <f t="shared" si="3"/>
        <v>1</v>
      </c>
      <c r="R41" s="2">
        <v>-85.9</v>
      </c>
      <c r="S41" s="2">
        <v>26.6</v>
      </c>
      <c r="T41" s="1" t="s">
        <v>57</v>
      </c>
      <c r="U41" s="3" t="s">
        <v>58</v>
      </c>
      <c r="W41" s="1" t="s">
        <v>76</v>
      </c>
    </row>
    <row r="42" spans="1:23" x14ac:dyDescent="0.2">
      <c r="A42" s="5" t="s">
        <v>71</v>
      </c>
      <c r="B42" s="1">
        <v>3</v>
      </c>
      <c r="C42" s="1" t="s">
        <v>54</v>
      </c>
      <c r="D42" s="1">
        <v>31</v>
      </c>
      <c r="E42" s="1" t="s">
        <v>73</v>
      </c>
      <c r="F42" s="1" t="s">
        <v>81</v>
      </c>
      <c r="G42" s="1" t="s">
        <v>68</v>
      </c>
      <c r="H42" s="1" t="s">
        <v>55</v>
      </c>
      <c r="I42" s="1" t="s">
        <v>69</v>
      </c>
      <c r="J42" s="1">
        <v>6</v>
      </c>
      <c r="K42" s="1">
        <v>6</v>
      </c>
      <c r="L42" s="1">
        <v>0</v>
      </c>
      <c r="M42" s="1">
        <v>12</v>
      </c>
      <c r="N42" s="1">
        <f t="shared" si="0"/>
        <v>1</v>
      </c>
      <c r="O42" s="1">
        <f t="shared" si="1"/>
        <v>0.5</v>
      </c>
      <c r="P42" s="1">
        <f t="shared" si="2"/>
        <v>0.5</v>
      </c>
      <c r="Q42" s="1">
        <f t="shared" si="3"/>
        <v>1</v>
      </c>
      <c r="R42" s="2">
        <v>67.599999999999994</v>
      </c>
      <c r="S42" s="2">
        <v>38.9</v>
      </c>
      <c r="T42" s="1" t="s">
        <v>57</v>
      </c>
      <c r="U42" s="3" t="s">
        <v>58</v>
      </c>
      <c r="W42" s="1" t="s">
        <v>76</v>
      </c>
    </row>
    <row r="43" spans="1:23" x14ac:dyDescent="0.2">
      <c r="A43" s="5" t="s">
        <v>71</v>
      </c>
      <c r="B43" s="1">
        <v>3</v>
      </c>
      <c r="C43" s="1" t="s">
        <v>59</v>
      </c>
      <c r="D43" s="1">
        <v>31</v>
      </c>
      <c r="E43" s="1" t="s">
        <v>73</v>
      </c>
      <c r="F43" s="1" t="s">
        <v>81</v>
      </c>
      <c r="G43" s="1" t="s">
        <v>68</v>
      </c>
      <c r="H43" s="1" t="s">
        <v>55</v>
      </c>
      <c r="I43" s="1" t="s">
        <v>69</v>
      </c>
      <c r="J43" s="1">
        <v>8</v>
      </c>
      <c r="K43" s="1">
        <v>4</v>
      </c>
      <c r="L43" s="1">
        <v>2</v>
      </c>
      <c r="M43" s="1">
        <v>10</v>
      </c>
      <c r="N43" s="1">
        <f t="shared" si="0"/>
        <v>0.83333333333333337</v>
      </c>
      <c r="O43" s="1">
        <f t="shared" si="1"/>
        <v>0.33333333333333331</v>
      </c>
      <c r="P43" s="1">
        <f t="shared" si="2"/>
        <v>0.5</v>
      </c>
      <c r="Q43" s="1">
        <f t="shared" si="3"/>
        <v>0.74999999999999989</v>
      </c>
      <c r="R43" s="2">
        <v>48.1</v>
      </c>
      <c r="S43" s="2">
        <v>33.5</v>
      </c>
      <c r="T43" s="1" t="s">
        <v>57</v>
      </c>
      <c r="U43" s="3" t="s">
        <v>58</v>
      </c>
      <c r="W43" s="1" t="s">
        <v>76</v>
      </c>
    </row>
    <row r="44" spans="1:23" x14ac:dyDescent="0.2">
      <c r="A44" s="5" t="s">
        <v>71</v>
      </c>
      <c r="B44" s="1">
        <v>3</v>
      </c>
      <c r="C44" s="1" t="s">
        <v>60</v>
      </c>
      <c r="D44" s="1">
        <v>31</v>
      </c>
      <c r="E44" s="1" t="s">
        <v>73</v>
      </c>
      <c r="F44" s="1" t="s">
        <v>81</v>
      </c>
      <c r="G44" s="1" t="s">
        <v>68</v>
      </c>
      <c r="H44" s="1" t="s">
        <v>55</v>
      </c>
      <c r="I44" s="1" t="s">
        <v>69</v>
      </c>
      <c r="J44" s="1">
        <v>12</v>
      </c>
      <c r="K44" s="1">
        <v>0</v>
      </c>
      <c r="L44" s="1">
        <v>3</v>
      </c>
      <c r="M44" s="1">
        <v>9</v>
      </c>
      <c r="N44" s="1">
        <f t="shared" si="0"/>
        <v>0.75</v>
      </c>
      <c r="O44" s="1">
        <f t="shared" si="1"/>
        <v>0</v>
      </c>
      <c r="P44" s="1">
        <f t="shared" si="2"/>
        <v>0.75</v>
      </c>
      <c r="Q44" s="1">
        <f t="shared" si="3"/>
        <v>0.75</v>
      </c>
      <c r="R44" s="2">
        <v>59.2</v>
      </c>
      <c r="S44" s="2">
        <v>26</v>
      </c>
      <c r="T44" s="1" t="s">
        <v>57</v>
      </c>
      <c r="U44" s="3" t="s">
        <v>58</v>
      </c>
      <c r="W44" s="1" t="s">
        <v>76</v>
      </c>
    </row>
    <row r="45" spans="1:23" x14ac:dyDescent="0.2">
      <c r="A45" s="5" t="s">
        <v>71</v>
      </c>
      <c r="B45" s="1">
        <v>3</v>
      </c>
      <c r="C45" s="1" t="s">
        <v>61</v>
      </c>
      <c r="D45" s="1">
        <v>31</v>
      </c>
      <c r="E45" s="1" t="s">
        <v>73</v>
      </c>
      <c r="F45" s="1" t="s">
        <v>81</v>
      </c>
      <c r="G45" s="1" t="s">
        <v>68</v>
      </c>
      <c r="H45" s="1" t="s">
        <v>55</v>
      </c>
      <c r="I45" s="1" t="s">
        <v>69</v>
      </c>
      <c r="J45" s="1">
        <v>12</v>
      </c>
      <c r="K45" s="1">
        <v>0</v>
      </c>
      <c r="L45" s="1">
        <v>6</v>
      </c>
      <c r="M45" s="1">
        <v>6</v>
      </c>
      <c r="N45" s="1">
        <f t="shared" si="0"/>
        <v>0.5</v>
      </c>
      <c r="O45" s="1">
        <f t="shared" si="1"/>
        <v>0</v>
      </c>
      <c r="P45" s="1">
        <f t="shared" si="2"/>
        <v>0.5</v>
      </c>
      <c r="Q45" s="1">
        <f t="shared" si="3"/>
        <v>0.5</v>
      </c>
      <c r="R45" s="2">
        <v>20.8</v>
      </c>
      <c r="S45" s="2">
        <v>30.4</v>
      </c>
      <c r="T45" s="1" t="s">
        <v>57</v>
      </c>
      <c r="U45" s="3" t="s">
        <v>58</v>
      </c>
      <c r="W45" s="1" t="s">
        <v>76</v>
      </c>
    </row>
    <row r="46" spans="1:23" x14ac:dyDescent="0.2">
      <c r="A46" s="5" t="s">
        <v>71</v>
      </c>
      <c r="B46" s="1">
        <v>3</v>
      </c>
      <c r="C46" s="1" t="s">
        <v>62</v>
      </c>
      <c r="D46" s="1">
        <v>31</v>
      </c>
      <c r="E46" s="1" t="s">
        <v>73</v>
      </c>
      <c r="F46" s="1" t="s">
        <v>81</v>
      </c>
      <c r="G46" s="1" t="s">
        <v>68</v>
      </c>
      <c r="H46" s="1" t="s">
        <v>55</v>
      </c>
      <c r="I46" s="1" t="s">
        <v>69</v>
      </c>
      <c r="J46" s="1">
        <v>4</v>
      </c>
      <c r="K46" s="1">
        <v>8</v>
      </c>
      <c r="L46" s="1">
        <v>10</v>
      </c>
      <c r="M46" s="1">
        <v>2</v>
      </c>
      <c r="N46" s="1">
        <f t="shared" si="0"/>
        <v>0.16666666666666666</v>
      </c>
      <c r="O46" s="1">
        <f t="shared" si="1"/>
        <v>0.66666666666666663</v>
      </c>
      <c r="P46" s="1">
        <f t="shared" si="2"/>
        <v>-0.5</v>
      </c>
      <c r="Q46" s="1">
        <f t="shared" si="3"/>
        <v>0.75</v>
      </c>
      <c r="R46" s="2">
        <v>-49.4</v>
      </c>
      <c r="S46" s="2">
        <v>32.4</v>
      </c>
      <c r="T46" s="1" t="s">
        <v>57</v>
      </c>
      <c r="U46" s="3" t="s">
        <v>58</v>
      </c>
      <c r="W46" s="1" t="s">
        <v>76</v>
      </c>
    </row>
    <row r="47" spans="1:23" x14ac:dyDescent="0.2">
      <c r="A47" s="5" t="s">
        <v>71</v>
      </c>
      <c r="B47" s="1">
        <v>3</v>
      </c>
      <c r="C47" s="1" t="s">
        <v>63</v>
      </c>
      <c r="D47" s="1">
        <v>31</v>
      </c>
      <c r="E47" s="1" t="s">
        <v>73</v>
      </c>
      <c r="F47" s="1" t="s">
        <v>81</v>
      </c>
      <c r="G47" s="1" t="s">
        <v>68</v>
      </c>
      <c r="H47" s="1" t="s">
        <v>55</v>
      </c>
      <c r="I47" s="1" t="s">
        <v>69</v>
      </c>
      <c r="J47" s="1">
        <v>0</v>
      </c>
      <c r="K47" s="1">
        <v>12</v>
      </c>
      <c r="L47" s="1">
        <v>9</v>
      </c>
      <c r="M47" s="1">
        <v>3</v>
      </c>
      <c r="N47" s="1">
        <f t="shared" si="0"/>
        <v>0.25</v>
      </c>
      <c r="O47" s="1">
        <f t="shared" si="1"/>
        <v>1</v>
      </c>
      <c r="P47" s="1">
        <f t="shared" si="2"/>
        <v>-0.75</v>
      </c>
      <c r="Q47" s="1">
        <f t="shared" si="3"/>
        <v>0.75</v>
      </c>
      <c r="R47" s="2">
        <v>-53.4</v>
      </c>
      <c r="S47" s="2">
        <v>33.799999999999997</v>
      </c>
      <c r="T47" s="1" t="s">
        <v>57</v>
      </c>
      <c r="U47" s="3" t="s">
        <v>58</v>
      </c>
      <c r="W47" s="1" t="s">
        <v>76</v>
      </c>
    </row>
    <row r="48" spans="1:23" x14ac:dyDescent="0.2">
      <c r="A48" s="5" t="s">
        <v>71</v>
      </c>
      <c r="B48" s="1">
        <v>3</v>
      </c>
      <c r="C48" s="1" t="s">
        <v>64</v>
      </c>
      <c r="D48" s="1">
        <v>31</v>
      </c>
      <c r="E48" s="1" t="s">
        <v>73</v>
      </c>
      <c r="F48" s="1" t="s">
        <v>81</v>
      </c>
      <c r="G48" s="1" t="s">
        <v>68</v>
      </c>
      <c r="H48" s="1" t="s">
        <v>55</v>
      </c>
      <c r="I48" s="1" t="s">
        <v>69</v>
      </c>
      <c r="J48" s="1">
        <v>0</v>
      </c>
      <c r="K48" s="1">
        <v>12</v>
      </c>
      <c r="L48" s="1">
        <v>6</v>
      </c>
      <c r="M48" s="1">
        <v>6</v>
      </c>
      <c r="N48" s="1">
        <f t="shared" si="0"/>
        <v>0.5</v>
      </c>
      <c r="O48" s="1">
        <f t="shared" si="1"/>
        <v>1</v>
      </c>
      <c r="P48" s="1">
        <f t="shared" si="2"/>
        <v>-0.5</v>
      </c>
      <c r="Q48" s="1">
        <f t="shared" si="3"/>
        <v>0.5</v>
      </c>
      <c r="R48" s="2">
        <v>-22.1</v>
      </c>
      <c r="S48" s="2">
        <v>32.200000000000003</v>
      </c>
      <c r="T48" s="1" t="s">
        <v>57</v>
      </c>
      <c r="U48" s="3" t="s">
        <v>58</v>
      </c>
      <c r="W48" s="1" t="s">
        <v>76</v>
      </c>
    </row>
    <row r="49" spans="1:23" x14ac:dyDescent="0.2">
      <c r="A49" s="5" t="s">
        <v>71</v>
      </c>
      <c r="B49" s="1">
        <v>3</v>
      </c>
      <c r="C49" s="1" t="s">
        <v>65</v>
      </c>
      <c r="D49" s="1">
        <v>31</v>
      </c>
      <c r="E49" s="1" t="s">
        <v>73</v>
      </c>
      <c r="F49" s="1" t="s">
        <v>81</v>
      </c>
      <c r="G49" s="1" t="s">
        <v>68</v>
      </c>
      <c r="H49" s="1" t="s">
        <v>55</v>
      </c>
      <c r="I49" s="1" t="s">
        <v>69</v>
      </c>
      <c r="J49" s="1">
        <v>8</v>
      </c>
      <c r="K49" s="1">
        <v>4</v>
      </c>
      <c r="L49" s="1">
        <v>8</v>
      </c>
      <c r="M49" s="1">
        <v>4</v>
      </c>
      <c r="N49" s="1">
        <f t="shared" si="0"/>
        <v>0.33333333333333331</v>
      </c>
      <c r="O49" s="1">
        <f t="shared" si="1"/>
        <v>0.33333333333333331</v>
      </c>
      <c r="P49" s="1">
        <f t="shared" si="2"/>
        <v>0</v>
      </c>
      <c r="Q49" s="1">
        <f t="shared" si="3"/>
        <v>0</v>
      </c>
      <c r="R49" s="2">
        <v>-12.3</v>
      </c>
      <c r="S49" s="2">
        <v>27</v>
      </c>
      <c r="T49" s="1" t="s">
        <v>57</v>
      </c>
      <c r="U49" s="3" t="s">
        <v>58</v>
      </c>
      <c r="W49" s="1" t="s">
        <v>76</v>
      </c>
    </row>
    <row r="50" spans="1:23" x14ac:dyDescent="0.2">
      <c r="A50" s="5" t="s">
        <v>71</v>
      </c>
      <c r="B50" s="1">
        <v>3</v>
      </c>
      <c r="C50" s="1" t="s">
        <v>66</v>
      </c>
      <c r="D50" s="1">
        <v>31</v>
      </c>
      <c r="E50" s="1" t="s">
        <v>73</v>
      </c>
      <c r="F50" s="1" t="s">
        <v>81</v>
      </c>
      <c r="G50" s="1" t="s">
        <v>68</v>
      </c>
      <c r="H50" s="1" t="s">
        <v>55</v>
      </c>
      <c r="I50" s="1" t="s">
        <v>69</v>
      </c>
      <c r="J50" s="1">
        <v>4</v>
      </c>
      <c r="K50" s="1">
        <v>8</v>
      </c>
      <c r="L50" s="1">
        <v>4</v>
      </c>
      <c r="M50" s="1">
        <v>8</v>
      </c>
      <c r="N50" s="1">
        <f t="shared" si="0"/>
        <v>0.66666666666666663</v>
      </c>
      <c r="O50" s="1">
        <f t="shared" si="1"/>
        <v>0.66666666666666663</v>
      </c>
      <c r="P50" s="1">
        <f t="shared" si="2"/>
        <v>0</v>
      </c>
      <c r="Q50" s="1">
        <f t="shared" si="3"/>
        <v>0</v>
      </c>
      <c r="R50" s="2">
        <v>10.8</v>
      </c>
      <c r="S50" s="2">
        <v>28.3</v>
      </c>
      <c r="T50" s="1" t="s">
        <v>57</v>
      </c>
      <c r="U50" s="3" t="s">
        <v>58</v>
      </c>
      <c r="W50" s="1" t="s">
        <v>76</v>
      </c>
    </row>
    <row r="51" spans="1:23" x14ac:dyDescent="0.2">
      <c r="A51" s="5" t="s">
        <v>71</v>
      </c>
      <c r="B51" s="1">
        <v>3</v>
      </c>
      <c r="C51" s="1" t="s">
        <v>67</v>
      </c>
      <c r="D51" s="1">
        <v>31</v>
      </c>
      <c r="E51" s="1" t="s">
        <v>73</v>
      </c>
      <c r="F51" s="1" t="s">
        <v>81</v>
      </c>
      <c r="G51" s="1" t="s">
        <v>68</v>
      </c>
      <c r="H51" s="1" t="s">
        <v>55</v>
      </c>
      <c r="I51" s="1" t="s">
        <v>69</v>
      </c>
      <c r="J51" s="1">
        <v>6</v>
      </c>
      <c r="K51" s="1">
        <v>6</v>
      </c>
      <c r="L51" s="1">
        <v>12</v>
      </c>
      <c r="M51" s="1">
        <v>0</v>
      </c>
      <c r="N51" s="1">
        <f t="shared" si="0"/>
        <v>0</v>
      </c>
      <c r="O51" s="1">
        <f t="shared" si="1"/>
        <v>0.5</v>
      </c>
      <c r="P51" s="1">
        <f t="shared" si="2"/>
        <v>-0.5</v>
      </c>
      <c r="Q51" s="1">
        <f t="shared" si="3"/>
        <v>1</v>
      </c>
      <c r="R51" s="2">
        <v>-73.2</v>
      </c>
      <c r="S51" s="2">
        <v>32</v>
      </c>
      <c r="T51" s="1" t="s">
        <v>57</v>
      </c>
      <c r="U51" s="3" t="s">
        <v>58</v>
      </c>
      <c r="W51" s="1" t="s">
        <v>76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Buehner_Cheng_Clifford_2003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BM</dc:creator>
  <cp:lastModifiedBy>BM</cp:lastModifiedBy>
  <dcterms:created xsi:type="dcterms:W3CDTF">2026-05-06T11:21:05Z</dcterms:created>
  <dcterms:modified xsi:type="dcterms:W3CDTF">2026-05-28T07:27:30Z</dcterms:modified>
</cp:coreProperties>
</file>